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hak\Desktop\IPL Project\"/>
    </mc:Choice>
  </mc:AlternateContent>
  <xr:revisionPtr revIDLastSave="0" documentId="13_ncr:1_{3E24E976-7D36-4B9E-92D6-0326E7712374}" xr6:coauthVersionLast="47" xr6:coauthVersionMax="47" xr10:uidLastSave="{00000000-0000-0000-0000-000000000000}"/>
  <bookViews>
    <workbookView xWindow="-108" yWindow="-108" windowWidth="23256" windowHeight="12456" tabRatio="881" firstSheet="1" activeTab="12" xr2:uid="{B507A4E0-D027-4E04-9DEF-765F4B5A1188}"/>
  </bookViews>
  <sheets>
    <sheet name="Quarter-Final Point Tables" sheetId="11" r:id="rId1"/>
    <sheet name="Semi-Final Point Tables" sheetId="12" r:id="rId2"/>
    <sheet name="Final Point Tables" sheetId="13" r:id="rId3"/>
    <sheet name="MI" sheetId="1" r:id="rId4"/>
    <sheet name="RRoyals" sheetId="2" r:id="rId5"/>
    <sheet name="KKR" sheetId="3" r:id="rId6"/>
    <sheet name="Hyderabad" sheetId="5" r:id="rId7"/>
    <sheet name="CSK" sheetId="6" r:id="rId8"/>
    <sheet name="Gujrat" sheetId="7" r:id="rId9"/>
    <sheet name="RCB" sheetId="8" r:id="rId10"/>
    <sheet name="Lucknow" sheetId="9" r:id="rId11"/>
    <sheet name="Delhi " sheetId="10" r:id="rId12"/>
    <sheet name="Punjab King" sheetId="4" r:id="rId1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11" l="1"/>
  <c r="K5" i="11"/>
  <c r="K6" i="11"/>
  <c r="K7" i="11"/>
  <c r="K8" i="11"/>
  <c r="K9" i="11"/>
  <c r="K10" i="11"/>
  <c r="K11" i="11"/>
  <c r="K12" i="11"/>
  <c r="K3" i="11"/>
  <c r="X14" i="1"/>
  <c r="X13" i="1"/>
  <c r="X14" i="2"/>
  <c r="X13" i="2"/>
  <c r="X14" i="3"/>
  <c r="X13" i="3"/>
  <c r="X14" i="5"/>
  <c r="X13" i="5"/>
  <c r="X14" i="6"/>
  <c r="X13" i="6"/>
  <c r="X14" i="7"/>
  <c r="X13" i="7"/>
  <c r="X14" i="8"/>
  <c r="X13" i="8"/>
  <c r="X2" i="4"/>
  <c r="X14" i="10"/>
  <c r="X13" i="10"/>
  <c r="X3" i="7"/>
  <c r="X4" i="7"/>
  <c r="X5" i="7"/>
  <c r="X6" i="7"/>
  <c r="X7" i="7"/>
  <c r="X8" i="7"/>
  <c r="X9" i="7"/>
  <c r="X10" i="7"/>
  <c r="X11" i="7"/>
  <c r="X12" i="7"/>
  <c r="X2" i="7"/>
  <c r="X3" i="8"/>
  <c r="X4" i="8"/>
  <c r="X5" i="8"/>
  <c r="X6" i="8"/>
  <c r="X7" i="8"/>
  <c r="X8" i="8"/>
  <c r="X9" i="8"/>
  <c r="X10" i="8"/>
  <c r="X11" i="8"/>
  <c r="X12" i="8"/>
  <c r="X2" i="8"/>
  <c r="X3" i="10"/>
  <c r="X4" i="10"/>
  <c r="X5" i="10"/>
  <c r="X6" i="10"/>
  <c r="X7" i="10"/>
  <c r="X8" i="10"/>
  <c r="X9" i="10"/>
  <c r="X10" i="10"/>
  <c r="X11" i="10"/>
  <c r="X12" i="10"/>
  <c r="X2" i="10"/>
  <c r="X3" i="4"/>
  <c r="X4" i="4"/>
  <c r="X5" i="4"/>
  <c r="X6" i="4"/>
  <c r="X7" i="4"/>
  <c r="X8" i="4"/>
  <c r="X9" i="4"/>
  <c r="X10" i="4"/>
  <c r="X11" i="4"/>
  <c r="X12" i="4"/>
  <c r="X3" i="6"/>
  <c r="X4" i="6"/>
  <c r="X5" i="6"/>
  <c r="X6" i="6"/>
  <c r="X7" i="6"/>
  <c r="X8" i="6"/>
  <c r="X9" i="6"/>
  <c r="X10" i="6"/>
  <c r="X11" i="6"/>
  <c r="X12" i="6"/>
  <c r="X2" i="6"/>
  <c r="X3" i="5"/>
  <c r="X4" i="5"/>
  <c r="X5" i="5"/>
  <c r="X6" i="5"/>
  <c r="X7" i="5"/>
  <c r="X8" i="5"/>
  <c r="X9" i="5"/>
  <c r="X10" i="5"/>
  <c r="X11" i="5"/>
  <c r="X12" i="5"/>
  <c r="X2" i="5"/>
  <c r="X3" i="3"/>
  <c r="X4" i="3"/>
  <c r="X5" i="3"/>
  <c r="X6" i="3"/>
  <c r="X7" i="3"/>
  <c r="X8" i="3"/>
  <c r="X9" i="3"/>
  <c r="X10" i="3"/>
  <c r="X11" i="3"/>
  <c r="X12" i="3"/>
  <c r="X2" i="3"/>
  <c r="X3" i="2"/>
  <c r="X4" i="2"/>
  <c r="X5" i="2"/>
  <c r="X6" i="2"/>
  <c r="X7" i="2"/>
  <c r="X8" i="2"/>
  <c r="X9" i="2"/>
  <c r="X10" i="2"/>
  <c r="X11" i="2"/>
  <c r="X12" i="2"/>
  <c r="X2" i="2"/>
  <c r="X3" i="1"/>
  <c r="X4" i="1"/>
  <c r="X5" i="1"/>
  <c r="X6" i="1"/>
  <c r="X7" i="1"/>
  <c r="X8" i="1"/>
  <c r="X9" i="1"/>
  <c r="X10" i="1"/>
  <c r="X11" i="1"/>
  <c r="X12" i="1"/>
  <c r="X2" i="1"/>
  <c r="E15" i="10"/>
  <c r="E14" i="10"/>
  <c r="E13" i="10"/>
  <c r="E15" i="8"/>
  <c r="E14" i="8"/>
  <c r="E13" i="8"/>
  <c r="E15" i="7"/>
  <c r="E14" i="7"/>
  <c r="E13" i="7"/>
  <c r="E15" i="6"/>
  <c r="E14" i="6"/>
  <c r="E13" i="6"/>
  <c r="E15" i="4"/>
  <c r="E14" i="4"/>
  <c r="E13" i="4"/>
  <c r="E15" i="5"/>
  <c r="E14" i="5"/>
  <c r="E13" i="5"/>
  <c r="E15" i="3"/>
  <c r="E14" i="3"/>
  <c r="E13" i="3"/>
  <c r="E15" i="2"/>
  <c r="E14" i="2"/>
  <c r="E13" i="2"/>
  <c r="E15" i="1"/>
  <c r="E14" i="1"/>
  <c r="E13" i="1"/>
  <c r="X3" i="9"/>
  <c r="X4" i="9"/>
  <c r="X5" i="9"/>
  <c r="X6" i="9"/>
  <c r="X7" i="9"/>
  <c r="X8" i="9"/>
  <c r="X9" i="9"/>
  <c r="X10" i="9"/>
  <c r="X11" i="9"/>
  <c r="X12" i="9"/>
  <c r="X2" i="9"/>
  <c r="E15" i="9"/>
  <c r="E14" i="9"/>
  <c r="E13" i="9"/>
  <c r="X14" i="4" l="1"/>
  <c r="X13" i="4"/>
  <c r="X14" i="9"/>
  <c r="X13" i="9"/>
</calcChain>
</file>

<file path=xl/sharedStrings.xml><?xml version="1.0" encoding="utf-8"?>
<sst xmlns="http://schemas.openxmlformats.org/spreadsheetml/2006/main" count="698" uniqueCount="396">
  <si>
    <t>P_id</t>
  </si>
  <si>
    <t>P_Name</t>
  </si>
  <si>
    <t>Rohit sharma</t>
  </si>
  <si>
    <t>Specialist</t>
  </si>
  <si>
    <t>Batter</t>
  </si>
  <si>
    <t>Bowler</t>
  </si>
  <si>
    <t>Amount</t>
  </si>
  <si>
    <t>No of  fours</t>
  </si>
  <si>
    <t>No of sixes</t>
  </si>
  <si>
    <t>NO OF 2 RUNS</t>
  </si>
  <si>
    <t>No of 3 runs</t>
  </si>
  <si>
    <t>No of 1 runs</t>
  </si>
  <si>
    <t>No of wickets</t>
  </si>
  <si>
    <t>Man of the match</t>
  </si>
  <si>
    <t>Tilak Varma</t>
  </si>
  <si>
    <t>Quinton de Kock</t>
  </si>
  <si>
    <t>Will Jacks</t>
  </si>
  <si>
    <t>Suryakumar Yadav</t>
  </si>
  <si>
    <t xml:space="preserve"> Trent Boult</t>
  </si>
  <si>
    <t>Hardik Pandya</t>
  </si>
  <si>
    <t>Jasprit Bumrah</t>
  </si>
  <si>
    <t>Mayank Rawat</t>
  </si>
  <si>
    <t>Sherfane Rutherford</t>
  </si>
  <si>
    <t>Naman Dhir</t>
  </si>
  <si>
    <t>No of dot ball</t>
  </si>
  <si>
    <t>Date</t>
  </si>
  <si>
    <t>No of caughts</t>
  </si>
  <si>
    <t>Riyan Parag</t>
  </si>
  <si>
    <t>Yashasvi Jaiswal</t>
  </si>
  <si>
    <t>Ravindra Jadeja</t>
  </si>
  <si>
    <t>Shimron Hetmyer</t>
  </si>
  <si>
    <t>Wanindu Hasaranga</t>
  </si>
  <si>
    <t>Vaibhav Sooryavanshi</t>
  </si>
  <si>
    <t>Nandre Burger</t>
  </si>
  <si>
    <t>Shubham Dubey</t>
  </si>
  <si>
    <t>Tushar Deshpande</t>
  </si>
  <si>
    <t>Donovan Ferreira</t>
  </si>
  <si>
    <t>Kwena Maphaka</t>
  </si>
  <si>
    <t>Ruturaj Gaikwad</t>
  </si>
  <si>
    <t>Kartik Sharma</t>
  </si>
  <si>
    <t>Sanju Samson</t>
  </si>
  <si>
    <t>Shivam Dube</t>
  </si>
  <si>
    <t>Noor Ahmad</t>
  </si>
  <si>
    <t>Matthew Short</t>
  </si>
  <si>
    <t>Spencer Johnson</t>
  </si>
  <si>
    <t>Sarfaraz Khan</t>
  </si>
  <si>
    <t>Anshul Kamboj</t>
  </si>
  <si>
    <t>Ayush Mhatre</t>
  </si>
  <si>
    <t>AjinkyaRahane</t>
  </si>
  <si>
    <t>RinkuSingh</t>
  </si>
  <si>
    <t>SunilNarine</t>
  </si>
  <si>
    <t>VarunChakravarthy</t>
  </si>
  <si>
    <t>CameronGreen</t>
  </si>
  <si>
    <t>RamandeepSingh</t>
  </si>
  <si>
    <t>AngkrishRaghuvanshi</t>
  </si>
  <si>
    <t>VaibhavArora</t>
  </si>
  <si>
    <t>KartikTyagi</t>
  </si>
  <si>
    <t>TimSeifert</t>
  </si>
  <si>
    <t>RahulTripathi</t>
  </si>
  <si>
    <t>TravisHead</t>
  </si>
  <si>
    <t>AbhishekSharma</t>
  </si>
  <si>
    <t>IshanKishan</t>
  </si>
  <si>
    <t>HeinrichKlaasen</t>
  </si>
  <si>
    <t>NitishKumarReddy</t>
  </si>
  <si>
    <t>BrydonCarse</t>
  </si>
  <si>
    <t>ShivamMavi</t>
  </si>
  <si>
    <t>AniketVerma</t>
  </si>
  <si>
    <t>SmaranRavichandran</t>
  </si>
  <si>
    <t>EshanMalinga</t>
  </si>
  <si>
    <t>ShreyasIyer</t>
  </si>
  <si>
    <t>ArshdeepSingh</t>
  </si>
  <si>
    <t>YuzvendraChahal</t>
  </si>
  <si>
    <t>MarcusStoinis</t>
  </si>
  <si>
    <t>ShashankSingh</t>
  </si>
  <si>
    <t>LockieFerguson</t>
  </si>
  <si>
    <t>HarpreetBrar</t>
  </si>
  <si>
    <t>PriyanshArya</t>
  </si>
  <si>
    <t>VijaykumarVyshak</t>
  </si>
  <si>
    <t>XavierBartlett</t>
  </si>
  <si>
    <t>YashThakur</t>
  </si>
  <si>
    <t>AxarPatel</t>
  </si>
  <si>
    <t>KLRahul</t>
  </si>
  <si>
    <t>KuldeepYadav</t>
  </si>
  <si>
    <t>TNatarajan</t>
  </si>
  <si>
    <t>NitishRana</t>
  </si>
  <si>
    <t>AbhishekPorel</t>
  </si>
  <si>
    <t>AshutoshSharma</t>
  </si>
  <si>
    <t>SameerRizvi</t>
  </si>
  <si>
    <t>PathumNissanka</t>
  </si>
  <si>
    <t>KarunNair</t>
  </si>
  <si>
    <t>ViratKohli</t>
  </si>
  <si>
    <t>RajatPatidar</t>
  </si>
  <si>
    <t>BhuvneshwarKumar</t>
  </si>
  <si>
    <t>PhilSalt</t>
  </si>
  <si>
    <t>VenkateshIyer</t>
  </si>
  <si>
    <t>JiteshSharma</t>
  </si>
  <si>
    <t>DevduttPadikkal</t>
  </si>
  <si>
    <t>YashDayal</t>
  </si>
  <si>
    <t>SuyashSharma</t>
  </si>
  <si>
    <t>NuwanThushara</t>
  </si>
  <si>
    <t>RasikhSalam</t>
  </si>
  <si>
    <t>ShubmanGill</t>
  </si>
  <si>
    <t>RashidKhan</t>
  </si>
  <si>
    <t>MohammedSiraj</t>
  </si>
  <si>
    <t>KagisoRabada</t>
  </si>
  <si>
    <t>WashingtonSundar</t>
  </si>
  <si>
    <t>RahulTewatia</t>
  </si>
  <si>
    <t>ShahrukhKhan</t>
  </si>
  <si>
    <t>GlennPhillips</t>
  </si>
  <si>
    <t>SaiKishore</t>
  </si>
  <si>
    <t>TomBanton</t>
  </si>
  <si>
    <t>LukeWood</t>
  </si>
  <si>
    <t>RishabhPant</t>
  </si>
  <si>
    <t>NicholasPooran</t>
  </si>
  <si>
    <t>WaninduHasaranga</t>
  </si>
  <si>
    <t>MayankYadav</t>
  </si>
  <si>
    <t>AveshKhan</t>
  </si>
  <si>
    <t>JoshInglis</t>
  </si>
  <si>
    <t>ShahbazAhmed</t>
  </si>
  <si>
    <t>AyushBadoni</t>
  </si>
  <si>
    <t>AbdulSamad</t>
  </si>
  <si>
    <t>AnrichNortje</t>
  </si>
  <si>
    <t>All-rounder</t>
  </si>
  <si>
    <t>Opening-batter</t>
  </si>
  <si>
    <t>Wicket-keeper batter</t>
  </si>
  <si>
    <t>Opening batter</t>
  </si>
  <si>
    <t>MI VS RR</t>
  </si>
  <si>
    <t>MI VS KKR</t>
  </si>
  <si>
    <t>MI VS HYDERABAD</t>
  </si>
  <si>
    <t>MI VS CSK</t>
  </si>
  <si>
    <t>MI VS GUJRAT</t>
  </si>
  <si>
    <t>MI VS RCB</t>
  </si>
  <si>
    <t>MI VS LUCKNOW</t>
  </si>
  <si>
    <t>MI VS DELHI</t>
  </si>
  <si>
    <t>No OF 2 RUNS</t>
  </si>
  <si>
    <t xml:space="preserve"> RR VS MI</t>
  </si>
  <si>
    <t>RR VS PBKS</t>
  </si>
  <si>
    <t>RR VS KKR</t>
  </si>
  <si>
    <t>RR VS HYDERABAD</t>
  </si>
  <si>
    <t>RR VS CSK</t>
  </si>
  <si>
    <t>RR VS GUJRAT</t>
  </si>
  <si>
    <t>RR VS RCB</t>
  </si>
  <si>
    <t>RR VS LUCKNOW</t>
  </si>
  <si>
    <t>RR VS DELHI</t>
  </si>
  <si>
    <t>DL VS RR</t>
  </si>
  <si>
    <t>DL VS PBKS</t>
  </si>
  <si>
    <t>DL VS KKR</t>
  </si>
  <si>
    <t>DLtchellStarc</t>
  </si>
  <si>
    <t>DL VS HYDERABAD</t>
  </si>
  <si>
    <t>DL VS CSK</t>
  </si>
  <si>
    <t>DL VS GUJRAT</t>
  </si>
  <si>
    <t>DL VS RCB</t>
  </si>
  <si>
    <t>DL VS LUCKNOW</t>
  </si>
  <si>
    <t>DL VS MI</t>
  </si>
  <si>
    <t>MohammedShaLUCKNOW</t>
  </si>
  <si>
    <t>LUCKNOW VS RR</t>
  </si>
  <si>
    <t>LUCKNOW VS PBKS</t>
  </si>
  <si>
    <t>LUCKNOW VS KKR</t>
  </si>
  <si>
    <t>LUCKNOW VS HYDERABAD</t>
  </si>
  <si>
    <t>LUCKNOW VS CSK</t>
  </si>
  <si>
    <t>LUCKNOW VS GUJRAT</t>
  </si>
  <si>
    <t>LUCKNOW VS RCB</t>
  </si>
  <si>
    <t>LUCKNOW VS MI</t>
  </si>
  <si>
    <t>LUCKNOW VS DELHI</t>
  </si>
  <si>
    <t>RCB VS RR</t>
  </si>
  <si>
    <t>RCB VS PBKS</t>
  </si>
  <si>
    <t>RCB VS KKR</t>
  </si>
  <si>
    <t>RCB VS HYDERABAD</t>
  </si>
  <si>
    <t>RCB VS CSK</t>
  </si>
  <si>
    <t>RCB VS GUJRAT</t>
  </si>
  <si>
    <t>RCB VS MI</t>
  </si>
  <si>
    <t>RCB VS LUCKNOW</t>
  </si>
  <si>
    <t>RCB VS DELHI</t>
  </si>
  <si>
    <t>GUJRAT VS RR</t>
  </si>
  <si>
    <t>GUJRAT VS PBKS</t>
  </si>
  <si>
    <t>GUJRAT VS KKR</t>
  </si>
  <si>
    <t>GUJRAT VS HYDERABAD</t>
  </si>
  <si>
    <t>GUJRAT VS CSK</t>
  </si>
  <si>
    <t>GUJRAT VS MI</t>
  </si>
  <si>
    <t>GUJRAT VS RCB</t>
  </si>
  <si>
    <t>GUJRAT VS LUCKNOW</t>
  </si>
  <si>
    <t>GUJRAT VS DELHI</t>
  </si>
  <si>
    <t>KKR VS RR</t>
  </si>
  <si>
    <t>KKR VS PBKS</t>
  </si>
  <si>
    <t>KKR VS MI</t>
  </si>
  <si>
    <t>KKR VS HYDERABAD</t>
  </si>
  <si>
    <t>KKR VS CSK</t>
  </si>
  <si>
    <t>KKR VS GUJRAT</t>
  </si>
  <si>
    <t>KKR VS RCB</t>
  </si>
  <si>
    <t>KKR VS LUCKNOW</t>
  </si>
  <si>
    <t>KKR VS DELHI</t>
  </si>
  <si>
    <t>HYDERABAD VS RR</t>
  </si>
  <si>
    <t>HYDERABAD VS PBKS</t>
  </si>
  <si>
    <t>HYDERABAD VS KKR</t>
  </si>
  <si>
    <t>HYDERABAD VS MI</t>
  </si>
  <si>
    <t>HYDERABAD VS CSK</t>
  </si>
  <si>
    <t>HYDERABAD VS GUJRAT</t>
  </si>
  <si>
    <t>HYDERABAD VS RCB</t>
  </si>
  <si>
    <t>HYDERABAD VS LUCKNOW</t>
  </si>
  <si>
    <t>HYDERABAD VS DELHI</t>
  </si>
  <si>
    <t>MI VS PBKS</t>
  </si>
  <si>
    <t>PBKS VS RR</t>
  </si>
  <si>
    <t>PBKS VS KKR</t>
  </si>
  <si>
    <t>PBKS VS hyderabad</t>
  </si>
  <si>
    <t>PBKS VS CSK</t>
  </si>
  <si>
    <t>PBKS VS GUJRAT</t>
  </si>
  <si>
    <t>PBKS VS RCB</t>
  </si>
  <si>
    <t>PBKS VS LUCKNOW</t>
  </si>
  <si>
    <t>PBKS VS DELHI</t>
  </si>
  <si>
    <t>JaCSKe Overton</t>
  </si>
  <si>
    <t>CSK VS RR</t>
  </si>
  <si>
    <t>CSK VS PBKS</t>
  </si>
  <si>
    <t>CSK VS KKR</t>
  </si>
  <si>
    <t>CSK VS HYDERABAD</t>
  </si>
  <si>
    <t>CSK VS MI</t>
  </si>
  <si>
    <t>CSK VS GUJRAT</t>
  </si>
  <si>
    <t>CSK VS RCB</t>
  </si>
  <si>
    <t>CSK VS LUCKNOW</t>
  </si>
  <si>
    <t>CSK VS DELHI</t>
  </si>
  <si>
    <t>Total</t>
  </si>
  <si>
    <t>Min</t>
  </si>
  <si>
    <t>Max</t>
  </si>
  <si>
    <t>Risabh pant(Highest score)</t>
  </si>
  <si>
    <t>WaninduHasaranga(Lowest score)</t>
  </si>
  <si>
    <t>Highest Wicket Taker</t>
  </si>
  <si>
    <t>AveshKhan=9</t>
  </si>
  <si>
    <t>Total run in ipl</t>
  </si>
  <si>
    <t>SameerRizvi(Highest Score)</t>
  </si>
  <si>
    <t>AshutoshSharma(Lowest Score)</t>
  </si>
  <si>
    <t>NitishRana=9</t>
  </si>
  <si>
    <t>ShreyasIyer(Highest Score)</t>
  </si>
  <si>
    <t>VijaykumarVyshak(Lowest Score)</t>
  </si>
  <si>
    <t>ShashankSingh=10</t>
  </si>
  <si>
    <t>ViratKohli(Highest score)</t>
  </si>
  <si>
    <t>BhuvneshwarKumar(Lowest score)</t>
  </si>
  <si>
    <t>BhuvneshwarKumar=10</t>
  </si>
  <si>
    <t>ShahrukhKhan(Highest Score)</t>
  </si>
  <si>
    <t>RashidKhan(Lowest Score)</t>
  </si>
  <si>
    <t>SaiKishore=8</t>
  </si>
  <si>
    <t>Ruturaj Gaikwad(Highest Score)</t>
  </si>
  <si>
    <t>Sarfaraz Khan(Lowest Score)</t>
  </si>
  <si>
    <t>Noor Ahmad=13</t>
  </si>
  <si>
    <t>Pat Cummins</t>
  </si>
  <si>
    <t>Pat Cummins(Highest Score)</t>
  </si>
  <si>
    <t>HeinrichKlaasen(Lowest Score)</t>
  </si>
  <si>
    <t>SmaranRavichandran=9</t>
  </si>
  <si>
    <t>AjinkyaRahane(Highest Score)</t>
  </si>
  <si>
    <t>SunilNarine(Lowest Score)</t>
  </si>
  <si>
    <t>RinkuSingh=21</t>
  </si>
  <si>
    <t>Kwena Maphaka(Highest Score)</t>
  </si>
  <si>
    <t>Yashasvi Jaiswal(Lowest Score)</t>
  </si>
  <si>
    <t>Nandre Burger=15</t>
  </si>
  <si>
    <t>Quinton de Kock(Highest Score)</t>
  </si>
  <si>
    <t xml:space="preserve"> Trent Boult(Lowest Score)</t>
  </si>
  <si>
    <t>Jasprit Bumrah=10</t>
  </si>
  <si>
    <t>Quarter-Final Point Tables</t>
  </si>
  <si>
    <t>MI</t>
  </si>
  <si>
    <t>RR</t>
  </si>
  <si>
    <t>KKR</t>
  </si>
  <si>
    <t>HYDERABAD</t>
  </si>
  <si>
    <t>CSK</t>
  </si>
  <si>
    <t>GUJRAT</t>
  </si>
  <si>
    <t>RCB</t>
  </si>
  <si>
    <t>LUCKNOW</t>
  </si>
  <si>
    <t>DELHI</t>
  </si>
  <si>
    <t>PBKS</t>
  </si>
  <si>
    <t>T_Name</t>
  </si>
  <si>
    <t>TOTAL</t>
  </si>
  <si>
    <t>Semi-Final Point Tables</t>
  </si>
  <si>
    <t>Points</t>
  </si>
  <si>
    <t>DELHI VS LUCKNOW</t>
  </si>
  <si>
    <t>PBKS VS MI</t>
  </si>
  <si>
    <t>Final Point Tables</t>
  </si>
  <si>
    <t>DELHI VS MI</t>
  </si>
  <si>
    <t>POINTS</t>
  </si>
  <si>
    <t>Total=379</t>
  </si>
  <si>
    <t>Total=499</t>
  </si>
  <si>
    <t>Total=493</t>
  </si>
  <si>
    <t>Total=594</t>
  </si>
  <si>
    <t>Total=147</t>
  </si>
  <si>
    <t>Total=232</t>
  </si>
  <si>
    <t>67*</t>
  </si>
  <si>
    <t>Total=336</t>
  </si>
  <si>
    <t>Total=278</t>
  </si>
  <si>
    <t>Total=274</t>
  </si>
  <si>
    <t>Total=149</t>
  </si>
  <si>
    <t>Trent Boult=32</t>
  </si>
  <si>
    <t>Total=57</t>
  </si>
  <si>
    <t>Jasprit Bumrah=9</t>
  </si>
  <si>
    <t>Total=440</t>
  </si>
  <si>
    <t>Total=369</t>
  </si>
  <si>
    <t>Total=356</t>
  </si>
  <si>
    <t>Total=777</t>
  </si>
  <si>
    <t>Total=293</t>
  </si>
  <si>
    <t>Total=172</t>
  </si>
  <si>
    <t>Total=353</t>
  </si>
  <si>
    <t>Total=312</t>
  </si>
  <si>
    <t>Total=188</t>
  </si>
  <si>
    <t>Total=141</t>
  </si>
  <si>
    <t>Shimron Hetmyer=70</t>
  </si>
  <si>
    <t>Total=292</t>
  </si>
  <si>
    <t>Total=246</t>
  </si>
  <si>
    <t>Total=137</t>
  </si>
  <si>
    <t>Total=291</t>
  </si>
  <si>
    <t>Total=341</t>
  </si>
  <si>
    <t>Total=112</t>
  </si>
  <si>
    <t>Total=308</t>
  </si>
  <si>
    <t>Total=330</t>
  </si>
  <si>
    <t>Total=132</t>
  </si>
  <si>
    <t>Total=46</t>
  </si>
  <si>
    <t>SunilNarine=32</t>
  </si>
  <si>
    <t>VaibhavArora=7</t>
  </si>
  <si>
    <t>Total=344</t>
  </si>
  <si>
    <t>Total=206</t>
  </si>
  <si>
    <t>Total=382</t>
  </si>
  <si>
    <t>Total=599</t>
  </si>
  <si>
    <t>Total=194</t>
  </si>
  <si>
    <t>Total=134</t>
  </si>
  <si>
    <t>Total=135</t>
  </si>
  <si>
    <t>Total=476</t>
  </si>
  <si>
    <t>Total=55</t>
  </si>
  <si>
    <t>AbhishekSharma=32</t>
  </si>
  <si>
    <t>HeinrichKlaasen=9</t>
  </si>
  <si>
    <t>Total=325</t>
  </si>
  <si>
    <t>Total=250</t>
  </si>
  <si>
    <t>Total=509</t>
  </si>
  <si>
    <t>Total=529</t>
  </si>
  <si>
    <t>Total=190</t>
  </si>
  <si>
    <t>Total=241</t>
  </si>
  <si>
    <t>Total=338</t>
  </si>
  <si>
    <t>Total=315</t>
  </si>
  <si>
    <t>Total=228</t>
  </si>
  <si>
    <t>Total=168</t>
  </si>
  <si>
    <t>Total=81</t>
  </si>
  <si>
    <t>Sanju Samson=32</t>
  </si>
  <si>
    <t>Anshul Kamboj=27</t>
  </si>
  <si>
    <t>Total=405</t>
  </si>
  <si>
    <t>Total=629</t>
  </si>
  <si>
    <t>Total=647</t>
  </si>
  <si>
    <t>Total=538</t>
  </si>
  <si>
    <t>Total=271</t>
  </si>
  <si>
    <t>Total=240</t>
  </si>
  <si>
    <t>Total=575</t>
  </si>
  <si>
    <t>Total=214</t>
  </si>
  <si>
    <t>Total=123</t>
  </si>
  <si>
    <t>Total=44</t>
  </si>
  <si>
    <t>RashidKhan=32</t>
  </si>
  <si>
    <t>SaiKishore=10</t>
  </si>
  <si>
    <t>Total=370</t>
  </si>
  <si>
    <t>Total=251</t>
  </si>
  <si>
    <t>Total=535</t>
  </si>
  <si>
    <t>Total=284</t>
  </si>
  <si>
    <t>Total=294</t>
  </si>
  <si>
    <t>Total=309</t>
  </si>
  <si>
    <t>Total=230</t>
  </si>
  <si>
    <t>Total=114</t>
  </si>
  <si>
    <t>Total=48</t>
  </si>
  <si>
    <t>RajatPatidar=32</t>
  </si>
  <si>
    <t>BhuvneshwarKumar=32</t>
  </si>
  <si>
    <t>Total=193</t>
  </si>
  <si>
    <t>Total=307</t>
  </si>
  <si>
    <t>Total=409</t>
  </si>
  <si>
    <t>Total=347</t>
  </si>
  <si>
    <t>Total=223</t>
  </si>
  <si>
    <t>Total=195</t>
  </si>
  <si>
    <t>Total=90</t>
  </si>
  <si>
    <t>Total=106</t>
  </si>
  <si>
    <t>Total=249</t>
  </si>
  <si>
    <t>Total=144</t>
  </si>
  <si>
    <t>Total=65</t>
  </si>
  <si>
    <t>MohammedSha=24</t>
  </si>
  <si>
    <t>ShahbazAhmed=10</t>
  </si>
  <si>
    <t>Total=588</t>
  </si>
  <si>
    <t>Total=603</t>
  </si>
  <si>
    <t>Total=610</t>
  </si>
  <si>
    <t>Total=649</t>
  </si>
  <si>
    <t>Total=555</t>
  </si>
  <si>
    <t>Total=567</t>
  </si>
  <si>
    <t>Total=541</t>
  </si>
  <si>
    <t>Total=528</t>
  </si>
  <si>
    <t>Total=551</t>
  </si>
  <si>
    <t>Total=181</t>
  </si>
  <si>
    <t>KuldeepYadav=32</t>
  </si>
  <si>
    <t>KuldeepYadav=19</t>
  </si>
  <si>
    <t>Total=437</t>
  </si>
  <si>
    <t>Total=152</t>
  </si>
  <si>
    <t>Total=501</t>
  </si>
  <si>
    <t>Total=434</t>
  </si>
  <si>
    <t>Total=300</t>
  </si>
  <si>
    <t>Total=148</t>
  </si>
  <si>
    <t>Total=313</t>
  </si>
  <si>
    <t>Total=162</t>
  </si>
  <si>
    <t>Total=170</t>
  </si>
  <si>
    <t>Total=50</t>
  </si>
  <si>
    <t>YuzvendraChahal=32</t>
  </si>
  <si>
    <t>ShashankSingh=9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</si>
</sst>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14" fontId="0" fillId="0" borderId="0" xfId="0" applyNumberFormat="1"/>
    <xf numFmtId="164" fontId="0" fillId="0" borderId="0" xfId="0" applyNumberFormat="1"/>
    <xf numFmtId="0" fontId="5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'Quarter-Final Point Tables'!$B$2</c:f>
              <c:strCache>
                <c:ptCount val="1"/>
                <c:pt idx="0">
                  <c:v>RR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'Quarter-Final Point Tables'!$A$3:$A$12</c:f>
              <c:strCache>
                <c:ptCount val="10"/>
                <c:pt idx="0">
                  <c:v>MI</c:v>
                </c:pt>
                <c:pt idx="1">
                  <c:v>RR</c:v>
                </c:pt>
                <c:pt idx="2">
                  <c:v>KKR</c:v>
                </c:pt>
                <c:pt idx="3">
                  <c:v>HYDERABAD</c:v>
                </c:pt>
                <c:pt idx="4">
                  <c:v>CSK</c:v>
                </c:pt>
                <c:pt idx="5">
                  <c:v>GUJRAT</c:v>
                </c:pt>
                <c:pt idx="6">
                  <c:v>RCB</c:v>
                </c:pt>
                <c:pt idx="7">
                  <c:v>LUCKNOW</c:v>
                </c:pt>
                <c:pt idx="8">
                  <c:v>DELHI</c:v>
                </c:pt>
                <c:pt idx="9">
                  <c:v>PBKS</c:v>
                </c:pt>
              </c:strCache>
            </c:strRef>
          </c:cat>
          <c:val>
            <c:numRef>
              <c:f>'Quarter-Final Point Tables'!$B$3:$B$12</c:f>
              <c:numCache>
                <c:formatCode>General</c:formatCode>
                <c:ptCount val="10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3E-496F-9AEF-3B47599B2F51}"/>
            </c:ext>
          </c:extLst>
        </c:ser>
        <c:ser>
          <c:idx val="1"/>
          <c:order val="1"/>
          <c:tx>
            <c:strRef>
              <c:f>'Quarter-Final Point Tables'!$C$2</c:f>
              <c:strCache>
                <c:ptCount val="1"/>
                <c:pt idx="0">
                  <c:v>KKR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'Quarter-Final Point Tables'!$A$3:$A$12</c:f>
              <c:strCache>
                <c:ptCount val="10"/>
                <c:pt idx="0">
                  <c:v>MI</c:v>
                </c:pt>
                <c:pt idx="1">
                  <c:v>RR</c:v>
                </c:pt>
                <c:pt idx="2">
                  <c:v>KKR</c:v>
                </c:pt>
                <c:pt idx="3">
                  <c:v>HYDERABAD</c:v>
                </c:pt>
                <c:pt idx="4">
                  <c:v>CSK</c:v>
                </c:pt>
                <c:pt idx="5">
                  <c:v>GUJRAT</c:v>
                </c:pt>
                <c:pt idx="6">
                  <c:v>RCB</c:v>
                </c:pt>
                <c:pt idx="7">
                  <c:v>LUCKNOW</c:v>
                </c:pt>
                <c:pt idx="8">
                  <c:v>DELHI</c:v>
                </c:pt>
                <c:pt idx="9">
                  <c:v>PBKS</c:v>
                </c:pt>
              </c:strCache>
            </c:strRef>
          </c:cat>
          <c:val>
            <c:numRef>
              <c:f>'Quarter-Final Point Tables'!$C$3:$C$12</c:f>
              <c:numCache>
                <c:formatCode>General</c:formatCode>
                <c:ptCount val="10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3E-496F-9AEF-3B47599B2F51}"/>
            </c:ext>
          </c:extLst>
        </c:ser>
        <c:ser>
          <c:idx val="2"/>
          <c:order val="2"/>
          <c:tx>
            <c:strRef>
              <c:f>'Quarter-Final Point Tables'!$D$2</c:f>
              <c:strCache>
                <c:ptCount val="1"/>
                <c:pt idx="0">
                  <c:v>HYDERABAD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'Quarter-Final Point Tables'!$A$3:$A$12</c:f>
              <c:strCache>
                <c:ptCount val="10"/>
                <c:pt idx="0">
                  <c:v>MI</c:v>
                </c:pt>
                <c:pt idx="1">
                  <c:v>RR</c:v>
                </c:pt>
                <c:pt idx="2">
                  <c:v>KKR</c:v>
                </c:pt>
                <c:pt idx="3">
                  <c:v>HYDERABAD</c:v>
                </c:pt>
                <c:pt idx="4">
                  <c:v>CSK</c:v>
                </c:pt>
                <c:pt idx="5">
                  <c:v>GUJRAT</c:v>
                </c:pt>
                <c:pt idx="6">
                  <c:v>RCB</c:v>
                </c:pt>
                <c:pt idx="7">
                  <c:v>LUCKNOW</c:v>
                </c:pt>
                <c:pt idx="8">
                  <c:v>DELHI</c:v>
                </c:pt>
                <c:pt idx="9">
                  <c:v>PBKS</c:v>
                </c:pt>
              </c:strCache>
            </c:strRef>
          </c:cat>
          <c:val>
            <c:numRef>
              <c:f>'Quarter-Final Point Tables'!$D$3:$D$12</c:f>
              <c:numCache>
                <c:formatCode>General</c:formatCode>
                <c:ptCount val="10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3E-496F-9AEF-3B47599B2F51}"/>
            </c:ext>
          </c:extLst>
        </c:ser>
        <c:ser>
          <c:idx val="3"/>
          <c:order val="3"/>
          <c:tx>
            <c:strRef>
              <c:f>'Quarter-Final Point Tables'!$E$2</c:f>
              <c:strCache>
                <c:ptCount val="1"/>
                <c:pt idx="0">
                  <c:v>CSK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'Quarter-Final Point Tables'!$A$3:$A$12</c:f>
              <c:strCache>
                <c:ptCount val="10"/>
                <c:pt idx="0">
                  <c:v>MI</c:v>
                </c:pt>
                <c:pt idx="1">
                  <c:v>RR</c:v>
                </c:pt>
                <c:pt idx="2">
                  <c:v>KKR</c:v>
                </c:pt>
                <c:pt idx="3">
                  <c:v>HYDERABAD</c:v>
                </c:pt>
                <c:pt idx="4">
                  <c:v>CSK</c:v>
                </c:pt>
                <c:pt idx="5">
                  <c:v>GUJRAT</c:v>
                </c:pt>
                <c:pt idx="6">
                  <c:v>RCB</c:v>
                </c:pt>
                <c:pt idx="7">
                  <c:v>LUCKNOW</c:v>
                </c:pt>
                <c:pt idx="8">
                  <c:v>DELHI</c:v>
                </c:pt>
                <c:pt idx="9">
                  <c:v>PBKS</c:v>
                </c:pt>
              </c:strCache>
            </c:strRef>
          </c:cat>
          <c:val>
            <c:numRef>
              <c:f>'Quarter-Final Point Tables'!$E$3:$E$12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3E-496F-9AEF-3B47599B2F51}"/>
            </c:ext>
          </c:extLst>
        </c:ser>
        <c:ser>
          <c:idx val="4"/>
          <c:order val="4"/>
          <c:tx>
            <c:strRef>
              <c:f>'Quarter-Final Point Tables'!$F$2</c:f>
              <c:strCache>
                <c:ptCount val="1"/>
                <c:pt idx="0">
                  <c:v>GUJRAT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'Quarter-Final Point Tables'!$A$3:$A$12</c:f>
              <c:strCache>
                <c:ptCount val="10"/>
                <c:pt idx="0">
                  <c:v>MI</c:v>
                </c:pt>
                <c:pt idx="1">
                  <c:v>RR</c:v>
                </c:pt>
                <c:pt idx="2">
                  <c:v>KKR</c:v>
                </c:pt>
                <c:pt idx="3">
                  <c:v>HYDERABAD</c:v>
                </c:pt>
                <c:pt idx="4">
                  <c:v>CSK</c:v>
                </c:pt>
                <c:pt idx="5">
                  <c:v>GUJRAT</c:v>
                </c:pt>
                <c:pt idx="6">
                  <c:v>RCB</c:v>
                </c:pt>
                <c:pt idx="7">
                  <c:v>LUCKNOW</c:v>
                </c:pt>
                <c:pt idx="8">
                  <c:v>DELHI</c:v>
                </c:pt>
                <c:pt idx="9">
                  <c:v>PBKS</c:v>
                </c:pt>
              </c:strCache>
            </c:strRef>
          </c:cat>
          <c:val>
            <c:numRef>
              <c:f>'Quarter-Final Point Tables'!$F$3:$F$12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3E-496F-9AEF-3B47599B2F51}"/>
            </c:ext>
          </c:extLst>
        </c:ser>
        <c:ser>
          <c:idx val="5"/>
          <c:order val="5"/>
          <c:tx>
            <c:strRef>
              <c:f>'Quarter-Final Point Tables'!$G$2</c:f>
              <c:strCache>
                <c:ptCount val="1"/>
                <c:pt idx="0">
                  <c:v>RCB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'Quarter-Final Point Tables'!$A$3:$A$12</c:f>
              <c:strCache>
                <c:ptCount val="10"/>
                <c:pt idx="0">
                  <c:v>MI</c:v>
                </c:pt>
                <c:pt idx="1">
                  <c:v>RR</c:v>
                </c:pt>
                <c:pt idx="2">
                  <c:v>KKR</c:v>
                </c:pt>
                <c:pt idx="3">
                  <c:v>HYDERABAD</c:v>
                </c:pt>
                <c:pt idx="4">
                  <c:v>CSK</c:v>
                </c:pt>
                <c:pt idx="5">
                  <c:v>GUJRAT</c:v>
                </c:pt>
                <c:pt idx="6">
                  <c:v>RCB</c:v>
                </c:pt>
                <c:pt idx="7">
                  <c:v>LUCKNOW</c:v>
                </c:pt>
                <c:pt idx="8">
                  <c:v>DELHI</c:v>
                </c:pt>
                <c:pt idx="9">
                  <c:v>PBKS</c:v>
                </c:pt>
              </c:strCache>
            </c:strRef>
          </c:cat>
          <c:val>
            <c:numRef>
              <c:f>'Quarter-Final Point Tables'!$G$3:$G$12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B3E-496F-9AEF-3B47599B2F51}"/>
            </c:ext>
          </c:extLst>
        </c:ser>
        <c:ser>
          <c:idx val="6"/>
          <c:order val="6"/>
          <c:tx>
            <c:strRef>
              <c:f>'Quarter-Final Point Tables'!$H$2</c:f>
              <c:strCache>
                <c:ptCount val="1"/>
                <c:pt idx="0">
                  <c:v>LUCKNOW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'Quarter-Final Point Tables'!$A$3:$A$12</c:f>
              <c:strCache>
                <c:ptCount val="10"/>
                <c:pt idx="0">
                  <c:v>MI</c:v>
                </c:pt>
                <c:pt idx="1">
                  <c:v>RR</c:v>
                </c:pt>
                <c:pt idx="2">
                  <c:v>KKR</c:v>
                </c:pt>
                <c:pt idx="3">
                  <c:v>HYDERABAD</c:v>
                </c:pt>
                <c:pt idx="4">
                  <c:v>CSK</c:v>
                </c:pt>
                <c:pt idx="5">
                  <c:v>GUJRAT</c:v>
                </c:pt>
                <c:pt idx="6">
                  <c:v>RCB</c:v>
                </c:pt>
                <c:pt idx="7">
                  <c:v>LUCKNOW</c:v>
                </c:pt>
                <c:pt idx="8">
                  <c:v>DELHI</c:v>
                </c:pt>
                <c:pt idx="9">
                  <c:v>PBKS</c:v>
                </c:pt>
              </c:strCache>
            </c:strRef>
          </c:cat>
          <c:val>
            <c:numRef>
              <c:f>'Quarter-Final Point Tables'!$H$3:$H$12</c:f>
              <c:numCache>
                <c:formatCode>General</c:formatCode>
                <c:ptCount val="10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3E-496F-9AEF-3B47599B2F51}"/>
            </c:ext>
          </c:extLst>
        </c:ser>
        <c:ser>
          <c:idx val="7"/>
          <c:order val="7"/>
          <c:tx>
            <c:strRef>
              <c:f>'Quarter-Final Point Tables'!$I$2</c:f>
              <c:strCache>
                <c:ptCount val="1"/>
                <c:pt idx="0">
                  <c:v>DELHI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'Quarter-Final Point Tables'!$A$3:$A$12</c:f>
              <c:strCache>
                <c:ptCount val="10"/>
                <c:pt idx="0">
                  <c:v>MI</c:v>
                </c:pt>
                <c:pt idx="1">
                  <c:v>RR</c:v>
                </c:pt>
                <c:pt idx="2">
                  <c:v>KKR</c:v>
                </c:pt>
                <c:pt idx="3">
                  <c:v>HYDERABAD</c:v>
                </c:pt>
                <c:pt idx="4">
                  <c:v>CSK</c:v>
                </c:pt>
                <c:pt idx="5">
                  <c:v>GUJRAT</c:v>
                </c:pt>
                <c:pt idx="6">
                  <c:v>RCB</c:v>
                </c:pt>
                <c:pt idx="7">
                  <c:v>LUCKNOW</c:v>
                </c:pt>
                <c:pt idx="8">
                  <c:v>DELHI</c:v>
                </c:pt>
                <c:pt idx="9">
                  <c:v>PBKS</c:v>
                </c:pt>
              </c:strCache>
            </c:strRef>
          </c:cat>
          <c:val>
            <c:numRef>
              <c:f>'Quarter-Final Point Tables'!$I$3:$I$12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B3E-496F-9AEF-3B47599B2F51}"/>
            </c:ext>
          </c:extLst>
        </c:ser>
        <c:ser>
          <c:idx val="8"/>
          <c:order val="8"/>
          <c:tx>
            <c:strRef>
              <c:f>'Quarter-Final Point Tables'!$J$2</c:f>
              <c:strCache>
                <c:ptCount val="1"/>
                <c:pt idx="0">
                  <c:v>PBKS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'Quarter-Final Point Tables'!$A$3:$A$12</c:f>
              <c:strCache>
                <c:ptCount val="10"/>
                <c:pt idx="0">
                  <c:v>MI</c:v>
                </c:pt>
                <c:pt idx="1">
                  <c:v>RR</c:v>
                </c:pt>
                <c:pt idx="2">
                  <c:v>KKR</c:v>
                </c:pt>
                <c:pt idx="3">
                  <c:v>HYDERABAD</c:v>
                </c:pt>
                <c:pt idx="4">
                  <c:v>CSK</c:v>
                </c:pt>
                <c:pt idx="5">
                  <c:v>GUJRAT</c:v>
                </c:pt>
                <c:pt idx="6">
                  <c:v>RCB</c:v>
                </c:pt>
                <c:pt idx="7">
                  <c:v>LUCKNOW</c:v>
                </c:pt>
                <c:pt idx="8">
                  <c:v>DELHI</c:v>
                </c:pt>
                <c:pt idx="9">
                  <c:v>PBKS</c:v>
                </c:pt>
              </c:strCache>
            </c:strRef>
          </c:cat>
          <c:val>
            <c:numRef>
              <c:f>'Quarter-Final Point Tables'!$J$3:$J$12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B3E-496F-9AEF-3B47599B2F51}"/>
            </c:ext>
          </c:extLst>
        </c:ser>
        <c:ser>
          <c:idx val="9"/>
          <c:order val="9"/>
          <c:tx>
            <c:strRef>
              <c:f>'Quarter-Final Point Tables'!$K$2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'Quarter-Final Point Tables'!$A$3:$A$12</c:f>
              <c:strCache>
                <c:ptCount val="10"/>
                <c:pt idx="0">
                  <c:v>MI</c:v>
                </c:pt>
                <c:pt idx="1">
                  <c:v>RR</c:v>
                </c:pt>
                <c:pt idx="2">
                  <c:v>KKR</c:v>
                </c:pt>
                <c:pt idx="3">
                  <c:v>HYDERABAD</c:v>
                </c:pt>
                <c:pt idx="4">
                  <c:v>CSK</c:v>
                </c:pt>
                <c:pt idx="5">
                  <c:v>GUJRAT</c:v>
                </c:pt>
                <c:pt idx="6">
                  <c:v>RCB</c:v>
                </c:pt>
                <c:pt idx="7">
                  <c:v>LUCKNOW</c:v>
                </c:pt>
                <c:pt idx="8">
                  <c:v>DELHI</c:v>
                </c:pt>
                <c:pt idx="9">
                  <c:v>PBKS</c:v>
                </c:pt>
              </c:strCache>
            </c:strRef>
          </c:cat>
          <c:val>
            <c:numRef>
              <c:f>'Quarter-Final Point Tables'!$K$3:$K$12</c:f>
              <c:numCache>
                <c:formatCode>General</c:formatCode>
                <c:ptCount val="10"/>
                <c:pt idx="0">
                  <c:v>10</c:v>
                </c:pt>
                <c:pt idx="1">
                  <c:v>6</c:v>
                </c:pt>
                <c:pt idx="2">
                  <c:v>8</c:v>
                </c:pt>
                <c:pt idx="3">
                  <c:v>8</c:v>
                </c:pt>
                <c:pt idx="4">
                  <c:v>6</c:v>
                </c:pt>
                <c:pt idx="5">
                  <c:v>6</c:v>
                </c:pt>
                <c:pt idx="6">
                  <c:v>8</c:v>
                </c:pt>
                <c:pt idx="7">
                  <c:v>12</c:v>
                </c:pt>
                <c:pt idx="8">
                  <c:v>16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B3E-496F-9AEF-3B47599B2F5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1540160"/>
        <c:axId val="81539200"/>
      </c:barChart>
      <c:catAx>
        <c:axId val="8154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39200"/>
        <c:crosses val="autoZero"/>
        <c:auto val="1"/>
        <c:lblAlgn val="ctr"/>
        <c:lblOffset val="100"/>
        <c:noMultiLvlLbl val="0"/>
      </c:catAx>
      <c:valAx>
        <c:axId val="8153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4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Semi-Final</a:t>
            </a:r>
            <a:r>
              <a:rPr lang="en-IN" baseline="0"/>
              <a:t> Point Table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9.5864895379697654E-2"/>
          <c:y val="3.6925142665323936E-2"/>
          <c:w val="0.8767701872461473"/>
          <c:h val="0.8218416051467887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'Semi-Final Point Tables'!$A$3:$B$3</c:f>
              <c:strCache>
                <c:ptCount val="2"/>
                <c:pt idx="0">
                  <c:v>DELHI</c:v>
                </c:pt>
                <c:pt idx="1">
                  <c:v>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'Semi-Final Point Tables'!$C$1:$D$2</c15:sqref>
                  </c15:fullRef>
                  <c15:levelRef>
                    <c15:sqref>'Semi-Final Point Tables'!$C$2:$D$2</c15:sqref>
                  </c15:levelRef>
                </c:ext>
              </c:extLst>
              <c:f>'Semi-Final Point Tables'!$C$2:$D$2</c:f>
              <c:strCache>
                <c:ptCount val="2"/>
                <c:pt idx="0">
                  <c:v>PBKS VS MI</c:v>
                </c:pt>
                <c:pt idx="1">
                  <c:v>Points</c:v>
                </c:pt>
              </c:strCache>
            </c:strRef>
          </c:cat>
          <c:val>
            <c:numRef>
              <c:f>'Semi-Final Point Tables'!$C$3:$D$3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41-499E-BCC8-294783B0EE76}"/>
            </c:ext>
          </c:extLst>
        </c:ser>
        <c:ser>
          <c:idx val="1"/>
          <c:order val="1"/>
          <c:tx>
            <c:strRef>
              <c:f>'Semi-Final Point Tables'!$A$4:$B$4</c:f>
              <c:strCache>
                <c:ptCount val="2"/>
                <c:pt idx="0">
                  <c:v>LUCKNOW</c:v>
                </c:pt>
                <c:pt idx="1">
                  <c:v>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'Semi-Final Point Tables'!$C$1:$D$2</c15:sqref>
                  </c15:fullRef>
                  <c15:levelRef>
                    <c15:sqref>'Semi-Final Point Tables'!$C$2:$D$2</c15:sqref>
                  </c15:levelRef>
                </c:ext>
              </c:extLst>
              <c:f>'Semi-Final Point Tables'!$C$2:$D$2</c:f>
              <c:strCache>
                <c:ptCount val="2"/>
                <c:pt idx="0">
                  <c:v>PBKS VS MI</c:v>
                </c:pt>
                <c:pt idx="1">
                  <c:v>Points</c:v>
                </c:pt>
              </c:strCache>
            </c:strRef>
          </c:cat>
          <c:val>
            <c:numRef>
              <c:f>'Semi-Final Point Tables'!$C$4:$D$4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41-499E-BCC8-294783B0EE76}"/>
            </c:ext>
          </c:extLst>
        </c:ser>
        <c:ser>
          <c:idx val="2"/>
          <c:order val="2"/>
          <c:tx>
            <c:strRef>
              <c:f>'Semi-Final Point Tables'!$A$5:$B$5</c:f>
              <c:strCache>
                <c:ptCount val="2"/>
                <c:pt idx="0">
                  <c:v>PBKS</c:v>
                </c:pt>
                <c:pt idx="1">
                  <c:v>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'Semi-Final Point Tables'!$C$1:$D$2</c15:sqref>
                  </c15:fullRef>
                  <c15:levelRef>
                    <c15:sqref>'Semi-Final Point Tables'!$C$2:$D$2</c15:sqref>
                  </c15:levelRef>
                </c:ext>
              </c:extLst>
              <c:f>'Semi-Final Point Tables'!$C$2:$D$2</c:f>
              <c:strCache>
                <c:ptCount val="2"/>
                <c:pt idx="0">
                  <c:v>PBKS VS MI</c:v>
                </c:pt>
                <c:pt idx="1">
                  <c:v>Points</c:v>
                </c:pt>
              </c:strCache>
            </c:strRef>
          </c:cat>
          <c:val>
            <c:numRef>
              <c:f>'Semi-Final Point Tables'!$C$5:$D$5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41-499E-BCC8-294783B0EE76}"/>
            </c:ext>
          </c:extLst>
        </c:ser>
        <c:ser>
          <c:idx val="3"/>
          <c:order val="3"/>
          <c:tx>
            <c:strRef>
              <c:f>'Semi-Final Point Tables'!$A$6:$B$6</c:f>
              <c:strCache>
                <c:ptCount val="2"/>
                <c:pt idx="0">
                  <c:v>MI</c:v>
                </c:pt>
                <c:pt idx="1">
                  <c:v>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'Semi-Final Point Tables'!$C$1:$D$2</c15:sqref>
                  </c15:fullRef>
                  <c15:levelRef>
                    <c15:sqref>'Semi-Final Point Tables'!$C$2:$D$2</c15:sqref>
                  </c15:levelRef>
                </c:ext>
              </c:extLst>
              <c:f>'Semi-Final Point Tables'!$C$2:$D$2</c:f>
              <c:strCache>
                <c:ptCount val="2"/>
                <c:pt idx="0">
                  <c:v>PBKS VS MI</c:v>
                </c:pt>
                <c:pt idx="1">
                  <c:v>Points</c:v>
                </c:pt>
              </c:strCache>
            </c:strRef>
          </c:cat>
          <c:val>
            <c:numRef>
              <c:f>'Semi-Final Point Tables'!$C$6:$D$6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41-499E-BCC8-294783B0E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50161136"/>
        <c:axId val="350161616"/>
      </c:barChart>
      <c:catAx>
        <c:axId val="350161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161616"/>
        <c:crosses val="autoZero"/>
        <c:auto val="1"/>
        <c:lblAlgn val="ctr"/>
        <c:lblOffset val="100"/>
        <c:noMultiLvlLbl val="0"/>
      </c:catAx>
      <c:valAx>
        <c:axId val="350161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16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cap="all" normalizeH="0" baseline="0">
                <a:effectLst/>
              </a:rPr>
              <a:t>Final Point Tables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'Final Point Tables'!$C$1</c:f>
              <c:strCache>
                <c:ptCount val="1"/>
                <c:pt idx="0">
                  <c:v>Final Point Tables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'Final Point Tables'!$B$2:$B$4</c:f>
              <c:strCache>
                <c:ptCount val="3"/>
                <c:pt idx="0">
                  <c:v>T_Name</c:v>
                </c:pt>
                <c:pt idx="1">
                  <c:v>DELHI</c:v>
                </c:pt>
                <c:pt idx="2">
                  <c:v>MI</c:v>
                </c:pt>
              </c:strCache>
            </c:strRef>
          </c:cat>
          <c:val>
            <c:numRef>
              <c:f>'Final Point Tables'!$C$2:$C$4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5F-447F-A442-301892F4ED35}"/>
            </c:ext>
          </c:extLst>
        </c:ser>
        <c:ser>
          <c:idx val="1"/>
          <c:order val="1"/>
          <c:tx>
            <c:strRef>
              <c:f>'Final Point Tables'!$D$1</c:f>
              <c:strCache>
                <c:ptCount val="1"/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'Final Point Tables'!$B$2:$B$4</c:f>
              <c:strCache>
                <c:ptCount val="3"/>
                <c:pt idx="0">
                  <c:v>T_Name</c:v>
                </c:pt>
                <c:pt idx="1">
                  <c:v>DELHI</c:v>
                </c:pt>
                <c:pt idx="2">
                  <c:v>MI</c:v>
                </c:pt>
              </c:strCache>
            </c:strRef>
          </c:cat>
          <c:val>
            <c:numRef>
              <c:f>'Final Point Tables'!$D$2:$D$4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5F-447F-A442-301892F4ED3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4101328"/>
        <c:axId val="104106128"/>
      </c:lineChart>
      <c:catAx>
        <c:axId val="10410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06128"/>
        <c:crosses val="autoZero"/>
        <c:auto val="1"/>
        <c:lblAlgn val="ctr"/>
        <c:lblOffset val="100"/>
        <c:noMultiLvlLbl val="0"/>
      </c:catAx>
      <c:valAx>
        <c:axId val="104106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0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13</xdr:row>
      <xdr:rowOff>15240</xdr:rowOff>
    </xdr:from>
    <xdr:to>
      <xdr:col>12</xdr:col>
      <xdr:colOff>426720</xdr:colOff>
      <xdr:row>29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7D7295-9409-35D2-F615-EF8AFE3A19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8</xdr:row>
      <xdr:rowOff>11430</xdr:rowOff>
    </xdr:from>
    <xdr:to>
      <xdr:col>13</xdr:col>
      <xdr:colOff>441960</xdr:colOff>
      <xdr:row>28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F1927A-EF55-5DDE-6CE8-8537EC6199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297180</xdr:colOff>
      <xdr:row>5</xdr:row>
      <xdr:rowOff>0</xdr:rowOff>
    </xdr:from>
    <xdr:to>
      <xdr:col>17</xdr:col>
      <xdr:colOff>480060</xdr:colOff>
      <xdr:row>27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272524-6AD3-EABF-FEDE-F8C8B476F2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6B26BE-E2A9-4AB7-BB95-AA9E7E91DC29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8xLRKVH7G-TvcylHjkwLO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2F915-C540-4B80-9B14-5A009DCED737}">
  <dimension ref="A1:K13"/>
  <sheetViews>
    <sheetView workbookViewId="0">
      <selection activeCell="Q13" sqref="Q13"/>
    </sheetView>
  </sheetViews>
  <sheetFormatPr defaultRowHeight="14.4" x14ac:dyDescent="0.3"/>
  <cols>
    <col min="1" max="1" width="11.33203125" bestFit="1" customWidth="1"/>
    <col min="2" max="2" width="20.5546875" bestFit="1" customWidth="1"/>
    <col min="3" max="3" width="10.77734375" bestFit="1" customWidth="1"/>
    <col min="4" max="4" width="11.77734375" customWidth="1"/>
    <col min="7" max="7" width="29.109375" bestFit="1" customWidth="1"/>
    <col min="8" max="8" width="9.77734375" bestFit="1" customWidth="1"/>
    <col min="10" max="10" width="5.33203125" bestFit="1" customWidth="1"/>
  </cols>
  <sheetData>
    <row r="1" spans="1:11" ht="18" x14ac:dyDescent="0.35">
      <c r="G1" s="6" t="s">
        <v>255</v>
      </c>
    </row>
    <row r="2" spans="1:11" x14ac:dyDescent="0.3">
      <c r="A2" s="2" t="s">
        <v>266</v>
      </c>
      <c r="B2" s="2" t="s">
        <v>257</v>
      </c>
      <c r="C2" s="2" t="s">
        <v>258</v>
      </c>
      <c r="D2" s="2" t="s">
        <v>259</v>
      </c>
      <c r="E2" s="2" t="s">
        <v>260</v>
      </c>
      <c r="F2" s="2" t="s">
        <v>261</v>
      </c>
      <c r="G2" s="2" t="s">
        <v>262</v>
      </c>
      <c r="H2" s="2" t="s">
        <v>263</v>
      </c>
      <c r="I2" s="2" t="s">
        <v>264</v>
      </c>
      <c r="J2" s="2" t="s">
        <v>265</v>
      </c>
      <c r="K2" s="2" t="s">
        <v>267</v>
      </c>
    </row>
    <row r="3" spans="1:11" x14ac:dyDescent="0.3">
      <c r="A3" s="2" t="s">
        <v>256</v>
      </c>
      <c r="B3">
        <v>2</v>
      </c>
      <c r="C3">
        <v>2</v>
      </c>
      <c r="D3">
        <v>0</v>
      </c>
      <c r="E3">
        <v>0</v>
      </c>
      <c r="F3">
        <v>2</v>
      </c>
      <c r="G3">
        <v>0</v>
      </c>
      <c r="H3">
        <v>2</v>
      </c>
      <c r="I3">
        <v>0</v>
      </c>
      <c r="J3">
        <v>2</v>
      </c>
      <c r="K3" s="2">
        <f>SUM(B3:J3)</f>
        <v>10</v>
      </c>
    </row>
    <row r="4" spans="1:11" x14ac:dyDescent="0.3">
      <c r="A4" s="2" t="s">
        <v>257</v>
      </c>
      <c r="B4">
        <v>0</v>
      </c>
      <c r="C4">
        <v>0</v>
      </c>
      <c r="D4">
        <v>2</v>
      </c>
      <c r="E4">
        <v>0</v>
      </c>
      <c r="F4">
        <v>2</v>
      </c>
      <c r="G4">
        <v>0</v>
      </c>
      <c r="H4">
        <v>0</v>
      </c>
      <c r="I4">
        <v>0</v>
      </c>
      <c r="J4">
        <v>2</v>
      </c>
      <c r="K4" s="2">
        <f t="shared" ref="K4:K12" si="0">SUM(B4:J4)</f>
        <v>6</v>
      </c>
    </row>
    <row r="5" spans="1:11" x14ac:dyDescent="0.3">
      <c r="A5" s="2" t="s">
        <v>258</v>
      </c>
      <c r="B5">
        <v>0</v>
      </c>
      <c r="C5">
        <v>0</v>
      </c>
      <c r="D5">
        <v>2</v>
      </c>
      <c r="E5">
        <v>2</v>
      </c>
      <c r="F5">
        <v>0</v>
      </c>
      <c r="G5">
        <v>0</v>
      </c>
      <c r="H5">
        <v>2</v>
      </c>
      <c r="I5">
        <v>0</v>
      </c>
      <c r="J5">
        <v>2</v>
      </c>
      <c r="K5" s="2">
        <f t="shared" si="0"/>
        <v>8</v>
      </c>
    </row>
    <row r="6" spans="1:11" x14ac:dyDescent="0.3">
      <c r="A6" s="2" t="s">
        <v>259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2</v>
      </c>
      <c r="I6">
        <v>2</v>
      </c>
      <c r="J6">
        <v>2</v>
      </c>
      <c r="K6" s="2">
        <f t="shared" si="0"/>
        <v>8</v>
      </c>
    </row>
    <row r="7" spans="1:11" x14ac:dyDescent="0.3">
      <c r="A7" s="2" t="s">
        <v>260</v>
      </c>
      <c r="B7">
        <v>0</v>
      </c>
      <c r="C7">
        <v>0</v>
      </c>
      <c r="D7">
        <v>2</v>
      </c>
      <c r="E7">
        <v>0</v>
      </c>
      <c r="F7">
        <v>0</v>
      </c>
      <c r="G7">
        <v>0</v>
      </c>
      <c r="H7">
        <v>0</v>
      </c>
      <c r="I7">
        <v>2</v>
      </c>
      <c r="J7">
        <v>2</v>
      </c>
      <c r="K7" s="2">
        <f t="shared" si="0"/>
        <v>6</v>
      </c>
    </row>
    <row r="8" spans="1:11" x14ac:dyDescent="0.3">
      <c r="A8" s="2" t="s">
        <v>261</v>
      </c>
      <c r="B8">
        <v>0</v>
      </c>
      <c r="C8">
        <v>2</v>
      </c>
      <c r="D8">
        <v>2</v>
      </c>
      <c r="E8">
        <v>0</v>
      </c>
      <c r="F8">
        <v>0</v>
      </c>
      <c r="G8">
        <v>0</v>
      </c>
      <c r="H8">
        <v>0</v>
      </c>
      <c r="I8">
        <v>0</v>
      </c>
      <c r="J8">
        <v>2</v>
      </c>
      <c r="K8" s="2">
        <f t="shared" si="0"/>
        <v>6</v>
      </c>
    </row>
    <row r="9" spans="1:11" x14ac:dyDescent="0.3">
      <c r="A9" s="2" t="s">
        <v>262</v>
      </c>
      <c r="B9">
        <v>2</v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2</v>
      </c>
      <c r="J9">
        <v>2</v>
      </c>
      <c r="K9" s="2">
        <f t="shared" si="0"/>
        <v>8</v>
      </c>
    </row>
    <row r="10" spans="1:11" x14ac:dyDescent="0.3">
      <c r="A10" s="2" t="s">
        <v>263</v>
      </c>
      <c r="B10">
        <v>2</v>
      </c>
      <c r="C10">
        <v>2</v>
      </c>
      <c r="D10">
        <v>2</v>
      </c>
      <c r="E10">
        <v>0</v>
      </c>
      <c r="F10">
        <v>2</v>
      </c>
      <c r="G10">
        <v>2</v>
      </c>
      <c r="H10">
        <v>0</v>
      </c>
      <c r="I10">
        <v>0</v>
      </c>
      <c r="J10">
        <v>2</v>
      </c>
      <c r="K10" s="2">
        <f t="shared" si="0"/>
        <v>12</v>
      </c>
    </row>
    <row r="11" spans="1:11" x14ac:dyDescent="0.3">
      <c r="A11" s="2" t="s">
        <v>264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0</v>
      </c>
      <c r="J11">
        <v>2</v>
      </c>
      <c r="K11" s="2">
        <f t="shared" si="0"/>
        <v>16</v>
      </c>
    </row>
    <row r="12" spans="1:11" x14ac:dyDescent="0.3">
      <c r="A12" s="2" t="s">
        <v>265</v>
      </c>
      <c r="B12">
        <v>2</v>
      </c>
      <c r="C12">
        <v>2</v>
      </c>
      <c r="D12">
        <v>2</v>
      </c>
      <c r="E12">
        <v>0</v>
      </c>
      <c r="F12">
        <v>2</v>
      </c>
      <c r="G12">
        <v>2</v>
      </c>
      <c r="H12">
        <v>0</v>
      </c>
      <c r="I12">
        <v>2</v>
      </c>
      <c r="J12">
        <v>0</v>
      </c>
      <c r="K12" s="2">
        <f t="shared" si="0"/>
        <v>12</v>
      </c>
    </row>
    <row r="13" spans="1:11" x14ac:dyDescent="0.3">
      <c r="A13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4736C-38B5-4576-969A-46F9910372C2}">
  <dimension ref="A1:D6"/>
  <sheetViews>
    <sheetView workbookViewId="0">
      <selection activeCell="P16" sqref="P16"/>
    </sheetView>
  </sheetViews>
  <sheetFormatPr defaultRowHeight="14.4" x14ac:dyDescent="0.3"/>
  <cols>
    <col min="2" max="2" width="18.109375" bestFit="1" customWidth="1"/>
    <col min="3" max="3" width="26.109375" bestFit="1" customWidth="1"/>
    <col min="4" max="4" width="10.77734375" bestFit="1" customWidth="1"/>
    <col min="6" max="6" width="26.109375" bestFit="1" customWidth="1"/>
    <col min="7" max="7" width="10.77734375" bestFit="1" customWidth="1"/>
  </cols>
  <sheetData>
    <row r="1" spans="1:4" ht="18" x14ac:dyDescent="0.35">
      <c r="C1" s="6" t="s">
        <v>268</v>
      </c>
    </row>
    <row r="2" spans="1:4" x14ac:dyDescent="0.3">
      <c r="A2" s="2" t="s">
        <v>266</v>
      </c>
      <c r="B2" s="2" t="s">
        <v>270</v>
      </c>
      <c r="C2" s="2" t="s">
        <v>271</v>
      </c>
      <c r="D2" s="2" t="s">
        <v>269</v>
      </c>
    </row>
    <row r="3" spans="1:4" x14ac:dyDescent="0.3">
      <c r="A3" s="2" t="s">
        <v>264</v>
      </c>
      <c r="B3">
        <v>2</v>
      </c>
      <c r="C3">
        <v>0</v>
      </c>
      <c r="D3" s="2">
        <v>2</v>
      </c>
    </row>
    <row r="4" spans="1:4" x14ac:dyDescent="0.3">
      <c r="A4" s="2" t="s">
        <v>263</v>
      </c>
      <c r="B4">
        <v>0</v>
      </c>
      <c r="C4">
        <v>0</v>
      </c>
      <c r="D4" s="2">
        <v>0</v>
      </c>
    </row>
    <row r="5" spans="1:4" x14ac:dyDescent="0.3">
      <c r="A5" s="2" t="s">
        <v>265</v>
      </c>
      <c r="B5">
        <v>0</v>
      </c>
      <c r="C5">
        <v>0</v>
      </c>
      <c r="D5" s="2">
        <v>0</v>
      </c>
    </row>
    <row r="6" spans="1:4" x14ac:dyDescent="0.3">
      <c r="A6" s="2" t="s">
        <v>256</v>
      </c>
      <c r="B6">
        <v>0</v>
      </c>
      <c r="C6">
        <v>2</v>
      </c>
      <c r="D6" s="2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419E3-D400-4E69-9D56-5C8718138169}">
  <dimension ref="B1:D4"/>
  <sheetViews>
    <sheetView topLeftCell="B1" workbookViewId="0">
      <selection activeCell="V15" sqref="V15"/>
    </sheetView>
  </sheetViews>
  <sheetFormatPr defaultRowHeight="14.4" x14ac:dyDescent="0.3"/>
  <cols>
    <col min="3" max="3" width="19.77734375" bestFit="1" customWidth="1"/>
  </cols>
  <sheetData>
    <row r="1" spans="2:4" ht="18" x14ac:dyDescent="0.35">
      <c r="C1" s="6" t="s">
        <v>272</v>
      </c>
    </row>
    <row r="2" spans="2:4" x14ac:dyDescent="0.3">
      <c r="B2" s="2" t="s">
        <v>266</v>
      </c>
      <c r="C2" s="2" t="s">
        <v>273</v>
      </c>
      <c r="D2" s="2" t="s">
        <v>274</v>
      </c>
    </row>
    <row r="3" spans="2:4" x14ac:dyDescent="0.3">
      <c r="B3" s="2" t="s">
        <v>264</v>
      </c>
      <c r="C3">
        <v>2</v>
      </c>
      <c r="D3">
        <v>2</v>
      </c>
    </row>
    <row r="4" spans="2:4" x14ac:dyDescent="0.3">
      <c r="B4" s="2" t="s">
        <v>256</v>
      </c>
      <c r="C4">
        <v>0</v>
      </c>
      <c r="D4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39F7B-D5E7-42FE-8E89-C6610A9091B8}">
  <dimension ref="A1:Y15"/>
  <sheetViews>
    <sheetView topLeftCell="D1" zoomScaleNormal="100" workbookViewId="0">
      <selection activeCell="P17" sqref="P17"/>
    </sheetView>
  </sheetViews>
  <sheetFormatPr defaultRowHeight="14.4" x14ac:dyDescent="0.3"/>
  <cols>
    <col min="1" max="1" width="10.33203125" bestFit="1" customWidth="1"/>
    <col min="3" max="3" width="17.21875" customWidth="1"/>
    <col min="4" max="4" width="19.33203125" customWidth="1"/>
    <col min="5" max="5" width="9.88671875" customWidth="1"/>
    <col min="6" max="6" width="17.21875" bestFit="1" customWidth="1"/>
    <col min="7" max="7" width="11" customWidth="1"/>
    <col min="8" max="8" width="10.6640625" customWidth="1"/>
    <col min="9" max="9" width="18.77734375" customWidth="1"/>
    <col min="10" max="10" width="11.88671875" customWidth="1"/>
    <col min="11" max="11" width="15.77734375" customWidth="1"/>
    <col min="12" max="12" width="10.33203125" customWidth="1"/>
    <col min="13" max="13" width="17.88671875" customWidth="1"/>
    <col min="14" max="14" width="13.109375" customWidth="1"/>
    <col min="15" max="15" width="13.44140625" bestFit="1" customWidth="1"/>
    <col min="16" max="16" width="15.5546875" bestFit="1" customWidth="1"/>
    <col min="17" max="17" width="15.44140625" customWidth="1"/>
    <col min="18" max="18" width="13.33203125" customWidth="1"/>
    <col min="19" max="19" width="12.77734375" customWidth="1"/>
    <col min="20" max="20" width="14.21875" customWidth="1"/>
    <col min="21" max="21" width="16.5546875" customWidth="1"/>
    <col min="22" max="22" width="14.6640625" customWidth="1"/>
    <col min="23" max="23" width="26.88671875" bestFit="1" customWidth="1"/>
    <col min="24" max="24" width="17.44140625" customWidth="1"/>
    <col min="25" max="25" width="21" bestFit="1" customWidth="1"/>
  </cols>
  <sheetData>
    <row r="1" spans="1:25" ht="15.6" x14ac:dyDescent="0.3">
      <c r="A1" s="2" t="s">
        <v>25</v>
      </c>
      <c r="B1" s="3" t="s">
        <v>0</v>
      </c>
      <c r="C1" s="3" t="s">
        <v>1</v>
      </c>
      <c r="D1" s="3" t="s">
        <v>3</v>
      </c>
      <c r="E1" s="3" t="s">
        <v>6</v>
      </c>
      <c r="F1" s="3" t="s">
        <v>126</v>
      </c>
      <c r="G1" s="3" t="s">
        <v>200</v>
      </c>
      <c r="H1" s="3" t="s">
        <v>127</v>
      </c>
      <c r="I1" s="3" t="s">
        <v>128</v>
      </c>
      <c r="J1" s="3" t="s">
        <v>129</v>
      </c>
      <c r="K1" s="3" t="s">
        <v>130</v>
      </c>
      <c r="L1" s="3" t="s">
        <v>131</v>
      </c>
      <c r="M1" s="3" t="s">
        <v>132</v>
      </c>
      <c r="N1" s="3" t="s">
        <v>133</v>
      </c>
      <c r="O1" s="3" t="s">
        <v>7</v>
      </c>
      <c r="P1" s="3" t="s">
        <v>8</v>
      </c>
      <c r="Q1" s="3" t="s">
        <v>134</v>
      </c>
      <c r="R1" s="3" t="s">
        <v>10</v>
      </c>
      <c r="S1" s="3" t="s">
        <v>11</v>
      </c>
      <c r="T1" s="3" t="s">
        <v>24</v>
      </c>
      <c r="U1" s="3" t="s">
        <v>26</v>
      </c>
      <c r="V1" s="3" t="s">
        <v>12</v>
      </c>
      <c r="W1" s="3" t="s">
        <v>13</v>
      </c>
      <c r="X1" s="3" t="s">
        <v>226</v>
      </c>
      <c r="Y1" s="3" t="s">
        <v>224</v>
      </c>
    </row>
    <row r="2" spans="1:25" x14ac:dyDescent="0.3">
      <c r="A2" s="4">
        <v>46101</v>
      </c>
      <c r="B2">
        <v>1</v>
      </c>
      <c r="C2" t="s">
        <v>2</v>
      </c>
      <c r="D2" t="s">
        <v>4</v>
      </c>
      <c r="E2">
        <v>16564525</v>
      </c>
      <c r="F2">
        <v>45</v>
      </c>
      <c r="G2">
        <v>25</v>
      </c>
      <c r="H2">
        <v>98</v>
      </c>
      <c r="I2">
        <v>91</v>
      </c>
      <c r="J2">
        <v>21</v>
      </c>
      <c r="K2">
        <v>31</v>
      </c>
      <c r="L2">
        <v>62</v>
      </c>
      <c r="M2">
        <v>55</v>
      </c>
      <c r="N2">
        <v>30</v>
      </c>
      <c r="O2">
        <v>14</v>
      </c>
      <c r="P2">
        <v>5</v>
      </c>
      <c r="Q2">
        <v>33</v>
      </c>
      <c r="R2">
        <v>9</v>
      </c>
      <c r="S2">
        <v>48</v>
      </c>
      <c r="T2">
        <v>10</v>
      </c>
      <c r="U2">
        <v>5</v>
      </c>
      <c r="V2">
        <v>0</v>
      </c>
      <c r="W2">
        <v>1</v>
      </c>
      <c r="X2">
        <f>SUM(F2:N2)</f>
        <v>458</v>
      </c>
      <c r="Y2" s="2" t="s">
        <v>254</v>
      </c>
    </row>
    <row r="3" spans="1:25" x14ac:dyDescent="0.3">
      <c r="A3" s="4">
        <v>46109</v>
      </c>
      <c r="B3">
        <v>2</v>
      </c>
      <c r="C3" t="s">
        <v>17</v>
      </c>
      <c r="D3" t="s">
        <v>4</v>
      </c>
      <c r="E3">
        <v>16000000</v>
      </c>
      <c r="F3">
        <v>25</v>
      </c>
      <c r="G3">
        <v>22</v>
      </c>
      <c r="H3">
        <v>25</v>
      </c>
      <c r="I3">
        <v>20</v>
      </c>
      <c r="J3">
        <v>32</v>
      </c>
      <c r="K3">
        <v>32</v>
      </c>
      <c r="L3">
        <v>3</v>
      </c>
      <c r="M3">
        <v>23</v>
      </c>
      <c r="N3">
        <v>21</v>
      </c>
      <c r="O3">
        <v>21</v>
      </c>
      <c r="P3">
        <v>6</v>
      </c>
      <c r="Q3">
        <v>22</v>
      </c>
      <c r="R3">
        <v>8</v>
      </c>
      <c r="S3">
        <v>54</v>
      </c>
      <c r="T3">
        <v>2</v>
      </c>
      <c r="U3">
        <v>3</v>
      </c>
      <c r="V3">
        <v>0</v>
      </c>
      <c r="W3">
        <v>0</v>
      </c>
      <c r="X3">
        <f t="shared" ref="X3:X12" si="0">SUM(F3:N3)</f>
        <v>203</v>
      </c>
    </row>
    <row r="4" spans="1:25" x14ac:dyDescent="0.3">
      <c r="A4" s="4">
        <v>46114</v>
      </c>
      <c r="B4">
        <v>3</v>
      </c>
      <c r="C4" t="s">
        <v>18</v>
      </c>
      <c r="D4" t="s">
        <v>5</v>
      </c>
      <c r="E4">
        <v>1200000</v>
      </c>
      <c r="F4">
        <v>10</v>
      </c>
      <c r="G4">
        <v>10</v>
      </c>
      <c r="H4">
        <v>12</v>
      </c>
      <c r="I4">
        <v>39</v>
      </c>
      <c r="J4">
        <v>32</v>
      </c>
      <c r="K4">
        <v>24</v>
      </c>
      <c r="L4">
        <v>4</v>
      </c>
      <c r="M4">
        <v>1</v>
      </c>
      <c r="N4">
        <v>32</v>
      </c>
      <c r="O4">
        <v>32</v>
      </c>
      <c r="P4">
        <v>5</v>
      </c>
      <c r="Q4">
        <v>10</v>
      </c>
      <c r="R4">
        <v>5</v>
      </c>
      <c r="S4">
        <v>35</v>
      </c>
      <c r="T4">
        <v>6</v>
      </c>
      <c r="U4">
        <v>2</v>
      </c>
      <c r="V4">
        <v>5</v>
      </c>
      <c r="W4">
        <v>3</v>
      </c>
      <c r="X4">
        <f t="shared" si="0"/>
        <v>164</v>
      </c>
    </row>
    <row r="5" spans="1:25" x14ac:dyDescent="0.3">
      <c r="A5" s="4">
        <v>46117</v>
      </c>
      <c r="B5">
        <v>4</v>
      </c>
      <c r="C5" t="s">
        <v>19</v>
      </c>
      <c r="D5" t="s">
        <v>122</v>
      </c>
      <c r="E5">
        <v>1672222</v>
      </c>
      <c r="F5">
        <v>35</v>
      </c>
      <c r="G5">
        <v>84</v>
      </c>
      <c r="H5">
        <v>85</v>
      </c>
      <c r="I5">
        <v>67</v>
      </c>
      <c r="J5">
        <v>25</v>
      </c>
      <c r="K5">
        <v>36</v>
      </c>
      <c r="L5">
        <v>88</v>
      </c>
      <c r="M5">
        <v>5</v>
      </c>
      <c r="N5">
        <v>22</v>
      </c>
      <c r="O5">
        <v>22</v>
      </c>
      <c r="P5">
        <v>8</v>
      </c>
      <c r="Q5">
        <v>6</v>
      </c>
      <c r="R5">
        <v>4</v>
      </c>
      <c r="S5">
        <v>26</v>
      </c>
      <c r="T5">
        <v>10</v>
      </c>
      <c r="U5">
        <v>4</v>
      </c>
      <c r="V5">
        <v>4</v>
      </c>
      <c r="W5">
        <v>2</v>
      </c>
      <c r="X5">
        <f t="shared" si="0"/>
        <v>447</v>
      </c>
    </row>
    <row r="6" spans="1:25" x14ac:dyDescent="0.3">
      <c r="A6" s="4">
        <v>46122</v>
      </c>
      <c r="B6">
        <v>5</v>
      </c>
      <c r="C6" t="s">
        <v>20</v>
      </c>
      <c r="D6" t="s">
        <v>5</v>
      </c>
      <c r="E6">
        <v>1800000</v>
      </c>
      <c r="F6">
        <v>12</v>
      </c>
      <c r="G6">
        <v>36</v>
      </c>
      <c r="H6">
        <v>37</v>
      </c>
      <c r="I6">
        <v>19</v>
      </c>
      <c r="J6">
        <v>4</v>
      </c>
      <c r="K6">
        <v>21</v>
      </c>
      <c r="L6">
        <v>63</v>
      </c>
      <c r="M6">
        <v>6</v>
      </c>
      <c r="N6">
        <v>21</v>
      </c>
      <c r="O6">
        <v>10</v>
      </c>
      <c r="P6">
        <v>9</v>
      </c>
      <c r="Q6">
        <v>11</v>
      </c>
      <c r="R6">
        <v>2</v>
      </c>
      <c r="S6">
        <v>15</v>
      </c>
      <c r="T6">
        <v>21</v>
      </c>
      <c r="U6">
        <v>0</v>
      </c>
      <c r="V6">
        <v>10</v>
      </c>
      <c r="W6">
        <v>1</v>
      </c>
      <c r="X6">
        <f t="shared" si="0"/>
        <v>219</v>
      </c>
    </row>
    <row r="7" spans="1:25" x14ac:dyDescent="0.3">
      <c r="A7" s="4">
        <v>46124</v>
      </c>
      <c r="B7">
        <v>6</v>
      </c>
      <c r="C7" t="s">
        <v>14</v>
      </c>
      <c r="D7" t="s">
        <v>4</v>
      </c>
      <c r="E7">
        <v>8000000</v>
      </c>
      <c r="F7">
        <v>62</v>
      </c>
      <c r="G7">
        <v>44</v>
      </c>
      <c r="H7">
        <v>64</v>
      </c>
      <c r="I7">
        <v>52</v>
      </c>
      <c r="J7">
        <v>1</v>
      </c>
      <c r="K7">
        <v>22</v>
      </c>
      <c r="L7">
        <v>21</v>
      </c>
      <c r="M7">
        <v>77</v>
      </c>
      <c r="N7">
        <v>25</v>
      </c>
      <c r="O7">
        <v>10</v>
      </c>
      <c r="P7">
        <v>7</v>
      </c>
      <c r="Q7">
        <v>19</v>
      </c>
      <c r="R7">
        <v>3</v>
      </c>
      <c r="S7">
        <v>65</v>
      </c>
      <c r="T7">
        <v>8</v>
      </c>
      <c r="U7">
        <v>0</v>
      </c>
      <c r="V7">
        <v>0</v>
      </c>
      <c r="W7">
        <v>0</v>
      </c>
      <c r="X7">
        <f t="shared" si="0"/>
        <v>368</v>
      </c>
    </row>
    <row r="8" spans="1:25" x14ac:dyDescent="0.3">
      <c r="A8" s="4">
        <v>46132</v>
      </c>
      <c r="B8">
        <v>7</v>
      </c>
      <c r="C8" t="s">
        <v>15</v>
      </c>
      <c r="D8" t="s">
        <v>124</v>
      </c>
      <c r="E8">
        <v>100000</v>
      </c>
      <c r="F8">
        <v>42</v>
      </c>
      <c r="G8">
        <v>98</v>
      </c>
      <c r="H8">
        <v>98</v>
      </c>
      <c r="I8">
        <v>85</v>
      </c>
      <c r="J8">
        <v>1</v>
      </c>
      <c r="K8">
        <v>11</v>
      </c>
      <c r="L8">
        <v>35</v>
      </c>
      <c r="M8">
        <v>25</v>
      </c>
      <c r="N8">
        <v>65</v>
      </c>
      <c r="O8">
        <v>3</v>
      </c>
      <c r="P8">
        <v>2</v>
      </c>
      <c r="Q8">
        <v>15</v>
      </c>
      <c r="R8">
        <v>5</v>
      </c>
      <c r="S8">
        <v>18</v>
      </c>
      <c r="T8">
        <v>21</v>
      </c>
      <c r="U8">
        <v>6</v>
      </c>
      <c r="V8">
        <v>0</v>
      </c>
      <c r="W8">
        <v>0</v>
      </c>
      <c r="X8">
        <f t="shared" si="0"/>
        <v>460</v>
      </c>
    </row>
    <row r="9" spans="1:25" x14ac:dyDescent="0.3">
      <c r="A9" s="4">
        <v>46139</v>
      </c>
      <c r="B9">
        <v>8</v>
      </c>
      <c r="C9" t="s">
        <v>16</v>
      </c>
      <c r="D9" t="s">
        <v>122</v>
      </c>
      <c r="E9">
        <v>5250000</v>
      </c>
      <c r="F9">
        <v>33</v>
      </c>
      <c r="G9">
        <v>23</v>
      </c>
      <c r="H9">
        <v>32</v>
      </c>
      <c r="I9">
        <v>63</v>
      </c>
      <c r="J9">
        <v>1</v>
      </c>
      <c r="K9">
        <v>55</v>
      </c>
      <c r="L9">
        <v>31</v>
      </c>
      <c r="M9">
        <v>32</v>
      </c>
      <c r="N9">
        <v>41</v>
      </c>
      <c r="O9">
        <v>25</v>
      </c>
      <c r="P9">
        <v>3</v>
      </c>
      <c r="Q9">
        <v>17</v>
      </c>
      <c r="R9">
        <v>10</v>
      </c>
      <c r="S9">
        <v>36</v>
      </c>
      <c r="T9">
        <v>12</v>
      </c>
      <c r="U9">
        <v>3</v>
      </c>
      <c r="V9">
        <v>6</v>
      </c>
      <c r="W9">
        <v>0</v>
      </c>
      <c r="X9">
        <f t="shared" si="0"/>
        <v>311</v>
      </c>
    </row>
    <row r="10" spans="1:25" x14ac:dyDescent="0.3">
      <c r="A10" s="4">
        <v>46154</v>
      </c>
      <c r="B10">
        <v>13</v>
      </c>
      <c r="C10" t="s">
        <v>21</v>
      </c>
      <c r="D10" t="s">
        <v>4</v>
      </c>
      <c r="E10">
        <v>3000000</v>
      </c>
      <c r="F10">
        <v>21</v>
      </c>
      <c r="G10">
        <v>68</v>
      </c>
      <c r="H10">
        <v>22</v>
      </c>
      <c r="I10">
        <v>36</v>
      </c>
      <c r="J10">
        <v>20</v>
      </c>
      <c r="K10">
        <v>0</v>
      </c>
      <c r="L10">
        <v>5</v>
      </c>
      <c r="M10">
        <v>22</v>
      </c>
      <c r="N10">
        <v>4</v>
      </c>
      <c r="O10">
        <v>7</v>
      </c>
      <c r="P10">
        <v>6</v>
      </c>
      <c r="Q10">
        <v>6</v>
      </c>
      <c r="R10">
        <v>9</v>
      </c>
      <c r="S10">
        <v>15</v>
      </c>
      <c r="T10">
        <v>25</v>
      </c>
      <c r="U10">
        <v>1</v>
      </c>
      <c r="V10">
        <v>3</v>
      </c>
      <c r="W10">
        <v>0</v>
      </c>
      <c r="X10">
        <f t="shared" si="0"/>
        <v>198</v>
      </c>
    </row>
    <row r="11" spans="1:25" x14ac:dyDescent="0.3">
      <c r="A11" s="4">
        <v>46158</v>
      </c>
      <c r="B11">
        <v>14</v>
      </c>
      <c r="C11" t="s">
        <v>22</v>
      </c>
      <c r="D11" t="s">
        <v>4</v>
      </c>
      <c r="E11">
        <v>2600000</v>
      </c>
      <c r="F11">
        <v>27</v>
      </c>
      <c r="G11">
        <v>64</v>
      </c>
      <c r="H11">
        <v>10</v>
      </c>
      <c r="I11">
        <v>24</v>
      </c>
      <c r="J11">
        <v>10</v>
      </c>
      <c r="K11">
        <v>0</v>
      </c>
      <c r="L11">
        <v>7</v>
      </c>
      <c r="M11">
        <v>22</v>
      </c>
      <c r="N11">
        <v>6</v>
      </c>
      <c r="O11">
        <v>2</v>
      </c>
      <c r="P11">
        <v>5</v>
      </c>
      <c r="Q11">
        <v>5</v>
      </c>
      <c r="R11">
        <v>0</v>
      </c>
      <c r="S11">
        <v>0</v>
      </c>
      <c r="T11">
        <v>24</v>
      </c>
      <c r="U11">
        <v>6</v>
      </c>
      <c r="V11">
        <v>0</v>
      </c>
      <c r="W11">
        <v>1</v>
      </c>
      <c r="X11">
        <f t="shared" si="0"/>
        <v>170</v>
      </c>
    </row>
    <row r="12" spans="1:25" x14ac:dyDescent="0.3">
      <c r="A12" s="4">
        <v>46162</v>
      </c>
      <c r="B12">
        <v>15</v>
      </c>
      <c r="C12" s="1" t="s">
        <v>23</v>
      </c>
      <c r="D12" t="s">
        <v>122</v>
      </c>
      <c r="E12">
        <v>5982233</v>
      </c>
      <c r="F12" s="8" t="s">
        <v>281</v>
      </c>
      <c r="G12">
        <v>25</v>
      </c>
      <c r="H12">
        <v>10</v>
      </c>
      <c r="I12">
        <v>98</v>
      </c>
      <c r="J12">
        <v>0</v>
      </c>
      <c r="K12">
        <v>0</v>
      </c>
      <c r="L12">
        <v>17</v>
      </c>
      <c r="M12">
        <v>10</v>
      </c>
      <c r="N12">
        <v>7</v>
      </c>
      <c r="O12">
        <v>3</v>
      </c>
      <c r="P12">
        <v>1</v>
      </c>
      <c r="Q12">
        <v>7</v>
      </c>
      <c r="R12">
        <v>0</v>
      </c>
      <c r="S12">
        <v>2</v>
      </c>
      <c r="T12">
        <v>22</v>
      </c>
      <c r="U12">
        <v>7</v>
      </c>
      <c r="V12">
        <v>9</v>
      </c>
      <c r="W12">
        <v>0</v>
      </c>
      <c r="X12">
        <f t="shared" si="0"/>
        <v>167</v>
      </c>
    </row>
    <row r="13" spans="1:25" x14ac:dyDescent="0.3">
      <c r="D13" s="2" t="s">
        <v>219</v>
      </c>
      <c r="E13" s="2">
        <f>SUM(E2:E12)</f>
        <v>62168980</v>
      </c>
      <c r="F13" s="7" t="s">
        <v>275</v>
      </c>
      <c r="G13" s="7" t="s">
        <v>276</v>
      </c>
      <c r="H13" s="7" t="s">
        <v>277</v>
      </c>
      <c r="I13" s="7" t="s">
        <v>278</v>
      </c>
      <c r="J13" s="7" t="s">
        <v>279</v>
      </c>
      <c r="K13" s="7" t="s">
        <v>280</v>
      </c>
      <c r="L13" s="7" t="s">
        <v>282</v>
      </c>
      <c r="M13" s="7" t="s">
        <v>283</v>
      </c>
      <c r="N13" s="7" t="s">
        <v>284</v>
      </c>
      <c r="O13" s="7" t="s">
        <v>285</v>
      </c>
      <c r="P13" s="7" t="s">
        <v>287</v>
      </c>
      <c r="W13" s="2" t="s">
        <v>252</v>
      </c>
      <c r="X13" s="2">
        <f>MAX(X2:X12)</f>
        <v>460</v>
      </c>
    </row>
    <row r="14" spans="1:25" x14ac:dyDescent="0.3">
      <c r="D14" s="2" t="s">
        <v>220</v>
      </c>
      <c r="E14" s="2">
        <f>MIN(E2:E12)</f>
        <v>100000</v>
      </c>
      <c r="O14" s="2" t="s">
        <v>286</v>
      </c>
      <c r="P14" s="2" t="s">
        <v>288</v>
      </c>
      <c r="W14" s="2" t="s">
        <v>253</v>
      </c>
      <c r="X14" s="2">
        <f>MIN(X2:X12)</f>
        <v>164</v>
      </c>
    </row>
    <row r="15" spans="1:25" x14ac:dyDescent="0.3">
      <c r="D15" s="2" t="s">
        <v>221</v>
      </c>
      <c r="E15" s="2">
        <f>MAX(E2:E12)</f>
        <v>16564525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403B9-E612-4309-8DCD-F51BCB5E514E}">
  <dimension ref="A1:Y15"/>
  <sheetViews>
    <sheetView topLeftCell="L1" workbookViewId="0">
      <selection activeCell="N13" sqref="F13:N13"/>
    </sheetView>
  </sheetViews>
  <sheetFormatPr defaultRowHeight="14.4" x14ac:dyDescent="0.3"/>
  <cols>
    <col min="1" max="1" width="10.33203125" bestFit="1" customWidth="1"/>
    <col min="2" max="2" width="5.88671875" customWidth="1"/>
    <col min="3" max="3" width="19" customWidth="1"/>
    <col min="4" max="4" width="18.77734375" customWidth="1"/>
    <col min="5" max="5" width="10" bestFit="1" customWidth="1"/>
    <col min="6" max="6" width="10.21875" customWidth="1"/>
    <col min="7" max="7" width="12.109375" customWidth="1"/>
    <col min="8" max="8" width="11.109375" customWidth="1"/>
    <col min="9" max="9" width="18.33203125" customWidth="1"/>
    <col min="10" max="10" width="12.5546875" customWidth="1"/>
    <col min="11" max="11" width="16.33203125" customWidth="1"/>
    <col min="12" max="12" width="11.109375" customWidth="1"/>
    <col min="13" max="13" width="17.77734375" customWidth="1"/>
    <col min="14" max="14" width="12.6640625" customWidth="1"/>
    <col min="15" max="16" width="18.33203125" bestFit="1" customWidth="1"/>
    <col min="19" max="19" width="13.44140625" customWidth="1"/>
    <col min="20" max="20" width="17.21875" customWidth="1"/>
    <col min="21" max="21" width="13.109375" customWidth="1"/>
    <col min="22" max="22" width="13.33203125" customWidth="1"/>
    <col min="23" max="23" width="28.21875" bestFit="1" customWidth="1"/>
    <col min="24" max="24" width="18" customWidth="1"/>
    <col min="25" max="25" width="21" bestFit="1" customWidth="1"/>
  </cols>
  <sheetData>
    <row r="1" spans="1:25" ht="15.6" x14ac:dyDescent="0.3">
      <c r="A1" s="2" t="s">
        <v>25</v>
      </c>
      <c r="B1" s="3" t="s">
        <v>0</v>
      </c>
      <c r="C1" s="3" t="s">
        <v>1</v>
      </c>
      <c r="D1" s="3" t="s">
        <v>3</v>
      </c>
      <c r="E1" s="3" t="s">
        <v>6</v>
      </c>
      <c r="F1" s="3" t="s">
        <v>135</v>
      </c>
      <c r="G1" s="3" t="s">
        <v>136</v>
      </c>
      <c r="H1" s="3" t="s">
        <v>137</v>
      </c>
      <c r="I1" s="3" t="s">
        <v>138</v>
      </c>
      <c r="J1" s="3" t="s">
        <v>139</v>
      </c>
      <c r="K1" s="3" t="s">
        <v>140</v>
      </c>
      <c r="L1" s="3" t="s">
        <v>141</v>
      </c>
      <c r="M1" s="3" t="s">
        <v>142</v>
      </c>
      <c r="N1" s="3" t="s">
        <v>143</v>
      </c>
      <c r="O1" s="3" t="s">
        <v>7</v>
      </c>
      <c r="P1" s="3" t="s">
        <v>8</v>
      </c>
      <c r="Q1" s="3" t="s">
        <v>9</v>
      </c>
      <c r="R1" s="3" t="s">
        <v>10</v>
      </c>
      <c r="S1" s="3" t="s">
        <v>11</v>
      </c>
      <c r="T1" s="3" t="s">
        <v>24</v>
      </c>
      <c r="U1" s="3" t="s">
        <v>26</v>
      </c>
      <c r="V1" s="3" t="s">
        <v>12</v>
      </c>
      <c r="W1" s="3" t="s">
        <v>13</v>
      </c>
      <c r="X1" s="3" t="s">
        <v>226</v>
      </c>
      <c r="Y1" s="3" t="s">
        <v>224</v>
      </c>
    </row>
    <row r="2" spans="1:25" x14ac:dyDescent="0.3">
      <c r="A2" s="5">
        <v>46083</v>
      </c>
      <c r="B2">
        <v>1</v>
      </c>
      <c r="C2" t="s">
        <v>27</v>
      </c>
      <c r="D2" t="s">
        <v>122</v>
      </c>
      <c r="E2">
        <v>10325975</v>
      </c>
      <c r="F2">
        <v>40</v>
      </c>
      <c r="G2">
        <v>22</v>
      </c>
      <c r="H2">
        <v>55</v>
      </c>
      <c r="I2">
        <v>91</v>
      </c>
      <c r="J2">
        <v>21</v>
      </c>
      <c r="K2">
        <v>31</v>
      </c>
      <c r="L2">
        <v>33</v>
      </c>
      <c r="M2">
        <v>11</v>
      </c>
      <c r="N2">
        <v>30</v>
      </c>
      <c r="O2">
        <v>14</v>
      </c>
      <c r="P2">
        <v>5</v>
      </c>
      <c r="Q2">
        <v>33</v>
      </c>
      <c r="R2">
        <v>9</v>
      </c>
      <c r="S2">
        <v>48</v>
      </c>
      <c r="T2">
        <v>10</v>
      </c>
      <c r="U2">
        <v>5</v>
      </c>
      <c r="V2">
        <v>0</v>
      </c>
      <c r="W2">
        <v>1</v>
      </c>
      <c r="X2">
        <f>SUM(F2:N2)</f>
        <v>334</v>
      </c>
      <c r="Y2" s="2" t="s">
        <v>251</v>
      </c>
    </row>
    <row r="3" spans="1:25" x14ac:dyDescent="0.3">
      <c r="A3" s="5">
        <v>46089</v>
      </c>
      <c r="B3">
        <v>2</v>
      </c>
      <c r="C3" t="s">
        <v>28</v>
      </c>
      <c r="D3" t="s">
        <v>123</v>
      </c>
      <c r="E3">
        <v>1353536</v>
      </c>
      <c r="F3">
        <v>40</v>
      </c>
      <c r="G3">
        <v>32</v>
      </c>
      <c r="H3">
        <v>32</v>
      </c>
      <c r="I3">
        <v>20</v>
      </c>
      <c r="J3">
        <v>40</v>
      </c>
      <c r="K3">
        <v>20</v>
      </c>
      <c r="L3">
        <v>36</v>
      </c>
      <c r="M3">
        <v>11</v>
      </c>
      <c r="N3">
        <v>30</v>
      </c>
      <c r="O3">
        <v>21</v>
      </c>
      <c r="P3">
        <v>6</v>
      </c>
      <c r="Q3">
        <v>22</v>
      </c>
      <c r="R3">
        <v>8</v>
      </c>
      <c r="S3">
        <v>3</v>
      </c>
      <c r="T3">
        <v>2</v>
      </c>
      <c r="U3">
        <v>3</v>
      </c>
      <c r="V3">
        <v>0</v>
      </c>
      <c r="W3">
        <v>0</v>
      </c>
      <c r="X3">
        <f t="shared" ref="X3:X12" si="0">SUM(F3:N3)</f>
        <v>261</v>
      </c>
    </row>
    <row r="4" spans="1:25" x14ac:dyDescent="0.3">
      <c r="A4" s="5">
        <v>46093</v>
      </c>
      <c r="B4">
        <v>3</v>
      </c>
      <c r="C4" t="s">
        <v>29</v>
      </c>
      <c r="D4" t="s">
        <v>122</v>
      </c>
      <c r="E4">
        <v>22566310</v>
      </c>
      <c r="F4">
        <v>40</v>
      </c>
      <c r="G4">
        <v>35</v>
      </c>
      <c r="H4">
        <v>5</v>
      </c>
      <c r="I4">
        <v>74</v>
      </c>
      <c r="J4">
        <v>32</v>
      </c>
      <c r="K4">
        <v>24</v>
      </c>
      <c r="L4">
        <v>14</v>
      </c>
      <c r="M4">
        <v>11</v>
      </c>
      <c r="N4">
        <v>30</v>
      </c>
      <c r="O4">
        <v>8</v>
      </c>
      <c r="P4">
        <v>5</v>
      </c>
      <c r="Q4">
        <v>10</v>
      </c>
      <c r="R4">
        <v>5</v>
      </c>
      <c r="S4">
        <v>35</v>
      </c>
      <c r="T4">
        <v>6</v>
      </c>
      <c r="U4">
        <v>6</v>
      </c>
      <c r="V4">
        <v>6</v>
      </c>
      <c r="W4">
        <v>6</v>
      </c>
      <c r="X4">
        <f t="shared" si="0"/>
        <v>265</v>
      </c>
    </row>
    <row r="5" spans="1:25" x14ac:dyDescent="0.3">
      <c r="A5" s="5">
        <v>46119</v>
      </c>
      <c r="B5">
        <v>8</v>
      </c>
      <c r="C5" t="s">
        <v>30</v>
      </c>
      <c r="D5" t="s">
        <v>4</v>
      </c>
      <c r="E5">
        <v>22500000</v>
      </c>
      <c r="F5">
        <v>40</v>
      </c>
      <c r="G5">
        <v>35</v>
      </c>
      <c r="H5">
        <v>33</v>
      </c>
      <c r="I5">
        <v>74</v>
      </c>
      <c r="J5">
        <v>25</v>
      </c>
      <c r="K5">
        <v>24</v>
      </c>
      <c r="L5">
        <v>14</v>
      </c>
      <c r="M5">
        <v>11</v>
      </c>
      <c r="N5">
        <v>30</v>
      </c>
      <c r="O5">
        <v>70</v>
      </c>
      <c r="P5">
        <v>70</v>
      </c>
      <c r="Q5">
        <v>19</v>
      </c>
      <c r="R5">
        <v>70</v>
      </c>
      <c r="S5">
        <v>36</v>
      </c>
      <c r="T5">
        <v>12</v>
      </c>
      <c r="U5">
        <v>3</v>
      </c>
      <c r="V5">
        <v>6</v>
      </c>
      <c r="W5">
        <v>3</v>
      </c>
      <c r="X5">
        <f t="shared" si="0"/>
        <v>286</v>
      </c>
    </row>
    <row r="6" spans="1:25" x14ac:dyDescent="0.3">
      <c r="A6" s="5">
        <v>46121</v>
      </c>
      <c r="B6">
        <v>9</v>
      </c>
      <c r="C6" t="s">
        <v>31</v>
      </c>
      <c r="D6" t="s">
        <v>122</v>
      </c>
      <c r="E6">
        <v>40199999</v>
      </c>
      <c r="F6">
        <v>40</v>
      </c>
      <c r="G6">
        <v>35</v>
      </c>
      <c r="H6">
        <v>33</v>
      </c>
      <c r="I6">
        <v>74</v>
      </c>
      <c r="J6">
        <v>25</v>
      </c>
      <c r="K6">
        <v>24</v>
      </c>
      <c r="L6">
        <v>14</v>
      </c>
      <c r="M6">
        <v>11</v>
      </c>
      <c r="N6">
        <v>30</v>
      </c>
      <c r="O6">
        <v>6</v>
      </c>
      <c r="P6">
        <v>4</v>
      </c>
      <c r="Q6">
        <v>19</v>
      </c>
      <c r="R6">
        <v>22</v>
      </c>
      <c r="S6">
        <v>14</v>
      </c>
      <c r="T6">
        <v>12</v>
      </c>
      <c r="U6">
        <v>4</v>
      </c>
      <c r="V6">
        <v>5</v>
      </c>
      <c r="W6">
        <v>3</v>
      </c>
      <c r="X6">
        <f t="shared" si="0"/>
        <v>286</v>
      </c>
    </row>
    <row r="7" spans="1:25" x14ac:dyDescent="0.3">
      <c r="A7" s="5">
        <v>46127</v>
      </c>
      <c r="B7">
        <v>10</v>
      </c>
      <c r="C7" t="s">
        <v>32</v>
      </c>
      <c r="D7" t="s">
        <v>4</v>
      </c>
      <c r="E7">
        <v>70000000</v>
      </c>
      <c r="F7">
        <v>40</v>
      </c>
      <c r="G7">
        <v>35</v>
      </c>
      <c r="H7">
        <v>33</v>
      </c>
      <c r="I7">
        <v>74</v>
      </c>
      <c r="J7">
        <v>25</v>
      </c>
      <c r="K7">
        <v>24</v>
      </c>
      <c r="L7">
        <v>14</v>
      </c>
      <c r="M7">
        <v>11</v>
      </c>
      <c r="N7">
        <v>30</v>
      </c>
      <c r="O7">
        <v>8</v>
      </c>
      <c r="P7">
        <v>2</v>
      </c>
      <c r="Q7">
        <v>19</v>
      </c>
      <c r="R7">
        <v>3</v>
      </c>
      <c r="S7">
        <v>52</v>
      </c>
      <c r="T7">
        <v>12</v>
      </c>
      <c r="U7">
        <v>2</v>
      </c>
      <c r="V7">
        <v>8</v>
      </c>
      <c r="W7">
        <v>3</v>
      </c>
      <c r="X7">
        <f t="shared" si="0"/>
        <v>286</v>
      </c>
    </row>
    <row r="8" spans="1:25" x14ac:dyDescent="0.3">
      <c r="A8" s="5">
        <v>46137</v>
      </c>
      <c r="B8">
        <v>11</v>
      </c>
      <c r="C8" t="s">
        <v>33</v>
      </c>
      <c r="D8" t="s">
        <v>5</v>
      </c>
      <c r="E8">
        <v>39000000</v>
      </c>
      <c r="F8">
        <v>40</v>
      </c>
      <c r="G8">
        <v>35</v>
      </c>
      <c r="H8">
        <v>33</v>
      </c>
      <c r="I8">
        <v>74</v>
      </c>
      <c r="J8">
        <v>25</v>
      </c>
      <c r="K8">
        <v>0</v>
      </c>
      <c r="L8">
        <v>14</v>
      </c>
      <c r="M8">
        <v>11</v>
      </c>
      <c r="N8">
        <v>30</v>
      </c>
      <c r="O8">
        <v>10</v>
      </c>
      <c r="P8">
        <v>2</v>
      </c>
      <c r="Q8">
        <v>19</v>
      </c>
      <c r="R8">
        <v>6</v>
      </c>
      <c r="S8">
        <v>84</v>
      </c>
      <c r="T8">
        <v>12</v>
      </c>
      <c r="U8">
        <v>15</v>
      </c>
      <c r="V8">
        <v>15</v>
      </c>
      <c r="W8">
        <v>15</v>
      </c>
      <c r="X8">
        <f t="shared" si="0"/>
        <v>262</v>
      </c>
    </row>
    <row r="9" spans="1:25" x14ac:dyDescent="0.3">
      <c r="A9" s="5">
        <v>46144</v>
      </c>
      <c r="B9">
        <v>12</v>
      </c>
      <c r="C9" t="s">
        <v>34</v>
      </c>
      <c r="D9" t="s">
        <v>4</v>
      </c>
      <c r="E9">
        <v>20023698</v>
      </c>
      <c r="F9">
        <v>40</v>
      </c>
      <c r="G9">
        <v>35</v>
      </c>
      <c r="H9">
        <v>33</v>
      </c>
      <c r="I9">
        <v>74</v>
      </c>
      <c r="J9">
        <v>25</v>
      </c>
      <c r="K9">
        <v>0</v>
      </c>
      <c r="L9">
        <v>63</v>
      </c>
      <c r="M9">
        <v>70</v>
      </c>
      <c r="N9">
        <v>2</v>
      </c>
      <c r="O9">
        <v>3</v>
      </c>
      <c r="P9">
        <v>1</v>
      </c>
      <c r="Q9">
        <v>7</v>
      </c>
      <c r="R9">
        <v>8</v>
      </c>
      <c r="S9">
        <v>36</v>
      </c>
      <c r="T9">
        <v>12</v>
      </c>
      <c r="U9">
        <v>1</v>
      </c>
      <c r="V9">
        <v>5</v>
      </c>
      <c r="W9">
        <v>3</v>
      </c>
      <c r="X9">
        <f t="shared" si="0"/>
        <v>342</v>
      </c>
    </row>
    <row r="10" spans="1:25" x14ac:dyDescent="0.3">
      <c r="A10" s="5">
        <v>46153</v>
      </c>
      <c r="B10">
        <v>13</v>
      </c>
      <c r="C10" t="s">
        <v>35</v>
      </c>
      <c r="D10" t="s">
        <v>5</v>
      </c>
      <c r="E10">
        <v>30256410</v>
      </c>
      <c r="F10">
        <v>40</v>
      </c>
      <c r="G10">
        <v>35</v>
      </c>
      <c r="H10">
        <v>33</v>
      </c>
      <c r="I10">
        <v>74</v>
      </c>
      <c r="J10">
        <v>25</v>
      </c>
      <c r="K10">
        <v>25</v>
      </c>
      <c r="L10">
        <v>25</v>
      </c>
      <c r="M10">
        <v>25</v>
      </c>
      <c r="N10">
        <v>25</v>
      </c>
      <c r="O10">
        <v>25</v>
      </c>
      <c r="P10">
        <v>25</v>
      </c>
      <c r="Q10">
        <v>25</v>
      </c>
      <c r="R10">
        <v>25</v>
      </c>
      <c r="S10">
        <v>15</v>
      </c>
      <c r="T10">
        <v>25</v>
      </c>
      <c r="U10">
        <v>12</v>
      </c>
      <c r="V10">
        <v>3</v>
      </c>
      <c r="W10">
        <v>3</v>
      </c>
      <c r="X10">
        <f t="shared" si="0"/>
        <v>307</v>
      </c>
    </row>
    <row r="11" spans="1:25" x14ac:dyDescent="0.3">
      <c r="A11" s="5">
        <v>46158</v>
      </c>
      <c r="B11">
        <v>14</v>
      </c>
      <c r="C11" t="s">
        <v>36</v>
      </c>
      <c r="D11" t="s">
        <v>124</v>
      </c>
      <c r="E11">
        <v>85656200</v>
      </c>
      <c r="F11">
        <v>40</v>
      </c>
      <c r="G11">
        <v>35</v>
      </c>
      <c r="H11">
        <v>33</v>
      </c>
      <c r="I11">
        <v>74</v>
      </c>
      <c r="J11">
        <v>25</v>
      </c>
      <c r="K11">
        <v>0</v>
      </c>
      <c r="L11">
        <v>63</v>
      </c>
      <c r="M11">
        <v>70</v>
      </c>
      <c r="N11">
        <v>20</v>
      </c>
      <c r="O11">
        <v>20</v>
      </c>
      <c r="P11">
        <v>20</v>
      </c>
      <c r="Q11">
        <v>7</v>
      </c>
      <c r="R11">
        <v>20</v>
      </c>
      <c r="S11">
        <v>20</v>
      </c>
      <c r="T11">
        <v>20</v>
      </c>
      <c r="U11">
        <v>20</v>
      </c>
      <c r="V11">
        <v>0</v>
      </c>
      <c r="W11">
        <v>3</v>
      </c>
      <c r="X11">
        <f t="shared" si="0"/>
        <v>360</v>
      </c>
    </row>
    <row r="12" spans="1:25" x14ac:dyDescent="0.3">
      <c r="A12" s="5">
        <v>46161</v>
      </c>
      <c r="B12">
        <v>15</v>
      </c>
      <c r="C12" t="s">
        <v>37</v>
      </c>
      <c r="D12" t="s">
        <v>5</v>
      </c>
      <c r="E12">
        <v>90122037</v>
      </c>
      <c r="F12">
        <v>40</v>
      </c>
      <c r="G12">
        <v>35</v>
      </c>
      <c r="H12">
        <v>33</v>
      </c>
      <c r="I12">
        <v>74</v>
      </c>
      <c r="J12">
        <v>25</v>
      </c>
      <c r="K12">
        <v>0</v>
      </c>
      <c r="L12">
        <v>63</v>
      </c>
      <c r="M12">
        <v>70</v>
      </c>
      <c r="N12">
        <v>21</v>
      </c>
      <c r="O12">
        <v>3</v>
      </c>
      <c r="P12">
        <v>1</v>
      </c>
      <c r="Q12">
        <v>7</v>
      </c>
      <c r="R12">
        <v>0</v>
      </c>
      <c r="S12">
        <v>2</v>
      </c>
      <c r="T12">
        <v>22</v>
      </c>
      <c r="U12">
        <v>7</v>
      </c>
      <c r="V12">
        <v>9</v>
      </c>
      <c r="W12">
        <v>3</v>
      </c>
      <c r="X12">
        <f t="shared" si="0"/>
        <v>361</v>
      </c>
    </row>
    <row r="13" spans="1:25" x14ac:dyDescent="0.3">
      <c r="D13" s="2" t="s">
        <v>219</v>
      </c>
      <c r="E13" s="2">
        <f>SUM(E2:E12)</f>
        <v>432004165</v>
      </c>
      <c r="F13" s="7" t="s">
        <v>289</v>
      </c>
      <c r="G13" s="7" t="s">
        <v>290</v>
      </c>
      <c r="H13" s="7" t="s">
        <v>291</v>
      </c>
      <c r="I13" s="7" t="s">
        <v>292</v>
      </c>
      <c r="J13" s="7" t="s">
        <v>293</v>
      </c>
      <c r="K13" s="7" t="s">
        <v>294</v>
      </c>
      <c r="L13" s="7" t="s">
        <v>295</v>
      </c>
      <c r="M13" s="7" t="s">
        <v>296</v>
      </c>
      <c r="N13" s="7" t="s">
        <v>283</v>
      </c>
      <c r="O13" s="7" t="s">
        <v>297</v>
      </c>
      <c r="P13" s="7" t="s">
        <v>298</v>
      </c>
      <c r="W13" s="2" t="s">
        <v>249</v>
      </c>
      <c r="X13" s="2">
        <f>MAX(X2:X12)</f>
        <v>361</v>
      </c>
    </row>
    <row r="14" spans="1:25" x14ac:dyDescent="0.3">
      <c r="D14" s="2" t="s">
        <v>220</v>
      </c>
      <c r="E14" s="2">
        <f>MIN(E2:E12)</f>
        <v>1353536</v>
      </c>
      <c r="O14" s="7" t="s">
        <v>299</v>
      </c>
      <c r="P14" s="7" t="s">
        <v>299</v>
      </c>
      <c r="W14" s="2" t="s">
        <v>250</v>
      </c>
      <c r="X14" s="2">
        <f>MIN(X2:X12)</f>
        <v>261</v>
      </c>
    </row>
    <row r="15" spans="1:25" x14ac:dyDescent="0.3">
      <c r="D15" s="2" t="s">
        <v>221</v>
      </c>
      <c r="E15" s="2">
        <f>MAX(E2:E12)</f>
        <v>90122037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C8F50-0C06-4222-839D-B7C81D09BCD6}">
  <dimension ref="A1:Y26"/>
  <sheetViews>
    <sheetView topLeftCell="D1" workbookViewId="0">
      <selection activeCell="O17" sqref="O17"/>
    </sheetView>
  </sheetViews>
  <sheetFormatPr defaultRowHeight="14.4" x14ac:dyDescent="0.3"/>
  <cols>
    <col min="1" max="1" width="10.33203125" bestFit="1" customWidth="1"/>
    <col min="2" max="2" width="4.88671875" customWidth="1"/>
    <col min="3" max="3" width="18.33203125" customWidth="1"/>
    <col min="4" max="4" width="19" customWidth="1"/>
    <col min="5" max="5" width="10" bestFit="1" customWidth="1"/>
    <col min="6" max="6" width="12.88671875" customWidth="1"/>
    <col min="7" max="7" width="14.88671875" customWidth="1"/>
    <col min="8" max="8" width="13.88671875" customWidth="1"/>
    <col min="9" max="9" width="20.21875" customWidth="1"/>
    <col min="10" max="10" width="12.77734375" customWidth="1"/>
    <col min="11" max="11" width="17.88671875" customWidth="1"/>
    <col min="12" max="12" width="16.77734375" customWidth="1"/>
    <col min="13" max="13" width="19" customWidth="1"/>
    <col min="14" max="14" width="16.33203125" customWidth="1"/>
    <col min="15" max="15" width="13.33203125" bestFit="1" customWidth="1"/>
    <col min="16" max="16" width="14.109375" bestFit="1" customWidth="1"/>
    <col min="22" max="22" width="13.77734375" bestFit="1" customWidth="1"/>
    <col min="23" max="23" width="26.77734375" bestFit="1" customWidth="1"/>
    <col min="24" max="24" width="18.5546875" customWidth="1"/>
    <col min="25" max="25" width="21" bestFit="1" customWidth="1"/>
  </cols>
  <sheetData>
    <row r="1" spans="1:25" ht="15.6" x14ac:dyDescent="0.3">
      <c r="A1" s="2" t="s">
        <v>25</v>
      </c>
      <c r="B1" s="3" t="s">
        <v>0</v>
      </c>
      <c r="C1" s="3" t="s">
        <v>1</v>
      </c>
      <c r="D1" s="3" t="s">
        <v>3</v>
      </c>
      <c r="E1" s="3" t="s">
        <v>6</v>
      </c>
      <c r="F1" s="3" t="s">
        <v>182</v>
      </c>
      <c r="G1" s="3" t="s">
        <v>183</v>
      </c>
      <c r="H1" s="3" t="s">
        <v>184</v>
      </c>
      <c r="I1" s="3" t="s">
        <v>185</v>
      </c>
      <c r="J1" s="3" t="s">
        <v>186</v>
      </c>
      <c r="K1" s="3" t="s">
        <v>187</v>
      </c>
      <c r="L1" s="3" t="s">
        <v>188</v>
      </c>
      <c r="M1" s="3" t="s">
        <v>189</v>
      </c>
      <c r="N1" s="3" t="s">
        <v>190</v>
      </c>
      <c r="O1" s="3" t="s">
        <v>7</v>
      </c>
      <c r="P1" s="3" t="s">
        <v>8</v>
      </c>
      <c r="Q1" s="3" t="s">
        <v>9</v>
      </c>
      <c r="R1" s="3" t="s">
        <v>10</v>
      </c>
      <c r="S1" s="3" t="s">
        <v>11</v>
      </c>
      <c r="T1" s="3" t="s">
        <v>24</v>
      </c>
      <c r="U1" s="3" t="s">
        <v>26</v>
      </c>
      <c r="V1" s="3" t="s">
        <v>12</v>
      </c>
      <c r="W1" s="3" t="s">
        <v>13</v>
      </c>
      <c r="X1" s="3" t="s">
        <v>226</v>
      </c>
      <c r="Y1" s="3" t="s">
        <v>224</v>
      </c>
    </row>
    <row r="2" spans="1:25" x14ac:dyDescent="0.3">
      <c r="A2" s="5">
        <v>46093</v>
      </c>
      <c r="B2">
        <v>1</v>
      </c>
      <c r="C2" t="s">
        <v>48</v>
      </c>
      <c r="D2" t="s">
        <v>4</v>
      </c>
      <c r="E2">
        <v>20000000</v>
      </c>
      <c r="F2">
        <v>2</v>
      </c>
      <c r="G2">
        <v>7</v>
      </c>
      <c r="H2">
        <v>8</v>
      </c>
      <c r="I2">
        <v>91</v>
      </c>
      <c r="J2">
        <v>21</v>
      </c>
      <c r="K2">
        <v>31</v>
      </c>
      <c r="L2">
        <v>62</v>
      </c>
      <c r="M2">
        <v>55</v>
      </c>
      <c r="N2">
        <v>30</v>
      </c>
      <c r="O2">
        <v>14</v>
      </c>
      <c r="P2">
        <v>5</v>
      </c>
      <c r="Q2">
        <v>5</v>
      </c>
      <c r="R2">
        <v>5</v>
      </c>
      <c r="S2">
        <v>5</v>
      </c>
      <c r="T2">
        <v>5</v>
      </c>
      <c r="U2">
        <v>5</v>
      </c>
      <c r="V2">
        <v>5</v>
      </c>
      <c r="W2">
        <v>5</v>
      </c>
      <c r="X2">
        <f>SUM(F2:N2)</f>
        <v>307</v>
      </c>
      <c r="Y2" s="2" t="s">
        <v>248</v>
      </c>
    </row>
    <row r="3" spans="1:25" x14ac:dyDescent="0.3">
      <c r="A3" s="5">
        <v>46099</v>
      </c>
      <c r="B3">
        <v>2</v>
      </c>
      <c r="C3" t="s">
        <v>49</v>
      </c>
      <c r="D3" t="s">
        <v>4</v>
      </c>
      <c r="E3">
        <v>30000000</v>
      </c>
      <c r="F3">
        <v>25</v>
      </c>
      <c r="G3">
        <v>22</v>
      </c>
      <c r="H3">
        <v>25</v>
      </c>
      <c r="I3">
        <v>20</v>
      </c>
      <c r="J3">
        <v>21</v>
      </c>
      <c r="K3">
        <v>31</v>
      </c>
      <c r="L3">
        <v>3</v>
      </c>
      <c r="M3">
        <v>23</v>
      </c>
      <c r="N3">
        <v>30</v>
      </c>
      <c r="O3">
        <v>21</v>
      </c>
      <c r="P3">
        <v>5</v>
      </c>
      <c r="Q3">
        <v>21</v>
      </c>
      <c r="R3">
        <v>21</v>
      </c>
      <c r="S3">
        <v>21</v>
      </c>
      <c r="T3">
        <v>21</v>
      </c>
      <c r="U3">
        <v>21</v>
      </c>
      <c r="V3">
        <v>21</v>
      </c>
      <c r="W3">
        <v>21</v>
      </c>
      <c r="X3">
        <f t="shared" ref="X3:X12" si="0">SUM(F3:N3)</f>
        <v>200</v>
      </c>
    </row>
    <row r="4" spans="1:25" x14ac:dyDescent="0.3">
      <c r="A4" s="5">
        <v>46100</v>
      </c>
      <c r="B4">
        <v>3</v>
      </c>
      <c r="C4" t="s">
        <v>50</v>
      </c>
      <c r="D4" t="s">
        <v>122</v>
      </c>
      <c r="E4">
        <v>12637726</v>
      </c>
      <c r="F4">
        <v>25</v>
      </c>
      <c r="G4">
        <v>10</v>
      </c>
      <c r="H4">
        <v>12</v>
      </c>
      <c r="I4">
        <v>20</v>
      </c>
      <c r="J4">
        <v>21</v>
      </c>
      <c r="K4">
        <v>31</v>
      </c>
      <c r="L4">
        <v>3</v>
      </c>
      <c r="M4">
        <v>1</v>
      </c>
      <c r="N4">
        <v>30</v>
      </c>
      <c r="O4">
        <v>32</v>
      </c>
      <c r="P4">
        <v>5</v>
      </c>
      <c r="Q4">
        <v>10</v>
      </c>
      <c r="R4">
        <v>5</v>
      </c>
      <c r="S4">
        <v>35</v>
      </c>
      <c r="T4">
        <v>6</v>
      </c>
      <c r="U4">
        <v>2</v>
      </c>
      <c r="V4">
        <v>5</v>
      </c>
      <c r="W4">
        <v>3</v>
      </c>
      <c r="X4">
        <f t="shared" si="0"/>
        <v>153</v>
      </c>
    </row>
    <row r="5" spans="1:25" x14ac:dyDescent="0.3">
      <c r="A5" s="5">
        <v>46106</v>
      </c>
      <c r="B5">
        <v>4</v>
      </c>
      <c r="C5" t="s">
        <v>51</v>
      </c>
      <c r="D5" t="s">
        <v>5</v>
      </c>
      <c r="E5">
        <v>16999210</v>
      </c>
      <c r="F5">
        <v>25</v>
      </c>
      <c r="G5">
        <v>10</v>
      </c>
      <c r="H5">
        <v>12</v>
      </c>
      <c r="I5">
        <v>20</v>
      </c>
      <c r="J5">
        <v>21</v>
      </c>
      <c r="K5">
        <v>31</v>
      </c>
      <c r="L5">
        <v>3</v>
      </c>
      <c r="M5">
        <v>5</v>
      </c>
      <c r="N5">
        <v>30</v>
      </c>
      <c r="O5">
        <v>22</v>
      </c>
      <c r="P5">
        <v>5</v>
      </c>
      <c r="Q5">
        <v>6</v>
      </c>
      <c r="R5">
        <v>5</v>
      </c>
      <c r="S5">
        <v>26</v>
      </c>
      <c r="T5">
        <v>6</v>
      </c>
      <c r="U5">
        <v>4</v>
      </c>
      <c r="V5">
        <v>5</v>
      </c>
      <c r="W5">
        <v>2</v>
      </c>
      <c r="X5">
        <f t="shared" si="0"/>
        <v>157</v>
      </c>
    </row>
    <row r="6" spans="1:25" x14ac:dyDescent="0.3">
      <c r="A6" s="5">
        <v>46109</v>
      </c>
      <c r="B6">
        <v>5</v>
      </c>
      <c r="C6" t="s">
        <v>52</v>
      </c>
      <c r="D6" t="s">
        <v>122</v>
      </c>
      <c r="E6">
        <v>18000074</v>
      </c>
      <c r="F6">
        <v>25</v>
      </c>
      <c r="G6">
        <v>10</v>
      </c>
      <c r="H6">
        <v>12</v>
      </c>
      <c r="I6">
        <v>20</v>
      </c>
      <c r="J6">
        <v>21</v>
      </c>
      <c r="K6">
        <v>31</v>
      </c>
      <c r="L6">
        <v>3</v>
      </c>
      <c r="M6">
        <v>6</v>
      </c>
      <c r="N6">
        <v>30</v>
      </c>
      <c r="O6">
        <v>10</v>
      </c>
      <c r="P6">
        <v>5</v>
      </c>
      <c r="Q6">
        <v>11</v>
      </c>
      <c r="R6">
        <v>5</v>
      </c>
      <c r="S6">
        <v>15</v>
      </c>
      <c r="T6">
        <v>6</v>
      </c>
      <c r="U6">
        <v>0</v>
      </c>
      <c r="V6">
        <v>5</v>
      </c>
      <c r="W6">
        <v>2</v>
      </c>
      <c r="X6">
        <f t="shared" si="0"/>
        <v>158</v>
      </c>
    </row>
    <row r="7" spans="1:25" x14ac:dyDescent="0.3">
      <c r="A7" s="5">
        <v>46117</v>
      </c>
      <c r="B7">
        <v>10</v>
      </c>
      <c r="C7" t="s">
        <v>53</v>
      </c>
      <c r="D7" t="s">
        <v>122</v>
      </c>
      <c r="E7">
        <v>1200000</v>
      </c>
      <c r="F7">
        <v>25</v>
      </c>
      <c r="G7">
        <v>10</v>
      </c>
      <c r="H7">
        <v>12</v>
      </c>
      <c r="I7">
        <v>20</v>
      </c>
      <c r="J7">
        <v>21</v>
      </c>
      <c r="K7">
        <v>31</v>
      </c>
      <c r="L7">
        <v>3</v>
      </c>
      <c r="M7">
        <v>35</v>
      </c>
      <c r="N7">
        <v>30</v>
      </c>
      <c r="O7">
        <v>8</v>
      </c>
      <c r="P7">
        <v>5</v>
      </c>
      <c r="Q7">
        <v>13</v>
      </c>
      <c r="R7">
        <v>5</v>
      </c>
      <c r="S7">
        <v>52</v>
      </c>
      <c r="T7">
        <v>6</v>
      </c>
      <c r="U7">
        <v>0</v>
      </c>
      <c r="V7">
        <v>5</v>
      </c>
      <c r="W7">
        <v>2</v>
      </c>
      <c r="X7">
        <f t="shared" si="0"/>
        <v>187</v>
      </c>
    </row>
    <row r="8" spans="1:25" x14ac:dyDescent="0.3">
      <c r="A8" s="5">
        <v>46120</v>
      </c>
      <c r="B8">
        <v>11</v>
      </c>
      <c r="C8" t="s">
        <v>54</v>
      </c>
      <c r="D8" t="s">
        <v>4</v>
      </c>
      <c r="E8">
        <v>13000000</v>
      </c>
      <c r="F8">
        <v>25</v>
      </c>
      <c r="G8">
        <v>10</v>
      </c>
      <c r="H8">
        <v>12</v>
      </c>
      <c r="I8">
        <v>20</v>
      </c>
      <c r="J8">
        <v>14</v>
      </c>
      <c r="K8">
        <v>31</v>
      </c>
      <c r="L8">
        <v>3</v>
      </c>
      <c r="M8">
        <v>96</v>
      </c>
      <c r="N8">
        <v>30</v>
      </c>
      <c r="O8">
        <v>10</v>
      </c>
      <c r="P8">
        <v>2</v>
      </c>
      <c r="Q8">
        <v>12</v>
      </c>
      <c r="R8">
        <v>6</v>
      </c>
      <c r="S8">
        <v>84</v>
      </c>
      <c r="T8">
        <v>6</v>
      </c>
      <c r="U8">
        <v>0</v>
      </c>
      <c r="V8">
        <v>5</v>
      </c>
      <c r="W8">
        <v>2</v>
      </c>
      <c r="X8">
        <f t="shared" si="0"/>
        <v>241</v>
      </c>
    </row>
    <row r="9" spans="1:25" x14ac:dyDescent="0.3">
      <c r="A9" s="5">
        <v>46124</v>
      </c>
      <c r="B9">
        <v>12</v>
      </c>
      <c r="C9" t="s">
        <v>56</v>
      </c>
      <c r="D9" t="s">
        <v>5</v>
      </c>
      <c r="E9">
        <v>14000232</v>
      </c>
      <c r="F9">
        <v>25</v>
      </c>
      <c r="G9">
        <v>10</v>
      </c>
      <c r="H9">
        <v>12</v>
      </c>
      <c r="I9">
        <v>20</v>
      </c>
      <c r="J9">
        <v>2</v>
      </c>
      <c r="K9">
        <v>31</v>
      </c>
      <c r="L9">
        <v>3</v>
      </c>
      <c r="M9">
        <v>33</v>
      </c>
      <c r="N9">
        <v>30</v>
      </c>
      <c r="O9">
        <v>3</v>
      </c>
      <c r="P9">
        <v>1</v>
      </c>
      <c r="Q9">
        <v>10</v>
      </c>
      <c r="R9">
        <v>8</v>
      </c>
      <c r="S9">
        <v>36</v>
      </c>
      <c r="T9">
        <v>6</v>
      </c>
      <c r="U9">
        <v>1</v>
      </c>
      <c r="V9">
        <v>5</v>
      </c>
      <c r="W9">
        <v>2</v>
      </c>
      <c r="X9">
        <f t="shared" si="0"/>
        <v>166</v>
      </c>
    </row>
    <row r="10" spans="1:25" x14ac:dyDescent="0.3">
      <c r="A10" s="5">
        <v>46131</v>
      </c>
      <c r="B10">
        <v>13</v>
      </c>
      <c r="C10" t="s">
        <v>55</v>
      </c>
      <c r="D10" t="s">
        <v>5</v>
      </c>
      <c r="E10">
        <v>1577741</v>
      </c>
      <c r="F10">
        <v>21</v>
      </c>
      <c r="G10">
        <v>68</v>
      </c>
      <c r="H10">
        <v>12</v>
      </c>
      <c r="I10">
        <v>20</v>
      </c>
      <c r="J10">
        <v>20</v>
      </c>
      <c r="K10">
        <v>31</v>
      </c>
      <c r="L10">
        <v>5</v>
      </c>
      <c r="M10">
        <v>22</v>
      </c>
      <c r="N10">
        <v>30</v>
      </c>
      <c r="O10">
        <v>7</v>
      </c>
      <c r="P10">
        <v>7</v>
      </c>
      <c r="Q10">
        <v>7</v>
      </c>
      <c r="R10">
        <v>7</v>
      </c>
      <c r="S10">
        <v>7</v>
      </c>
      <c r="T10">
        <v>7</v>
      </c>
      <c r="U10">
        <v>7</v>
      </c>
      <c r="V10">
        <v>7</v>
      </c>
      <c r="W10">
        <v>7</v>
      </c>
      <c r="X10">
        <f t="shared" si="0"/>
        <v>229</v>
      </c>
    </row>
    <row r="11" spans="1:25" x14ac:dyDescent="0.3">
      <c r="A11" s="5">
        <v>46138</v>
      </c>
      <c r="B11">
        <v>14</v>
      </c>
      <c r="C11" t="s">
        <v>57</v>
      </c>
      <c r="D11" t="s">
        <v>124</v>
      </c>
      <c r="E11">
        <v>1676665</v>
      </c>
      <c r="F11">
        <v>27</v>
      </c>
      <c r="G11">
        <v>64</v>
      </c>
      <c r="H11">
        <v>10</v>
      </c>
      <c r="I11">
        <v>20</v>
      </c>
      <c r="J11">
        <v>10</v>
      </c>
      <c r="K11">
        <v>31</v>
      </c>
      <c r="L11">
        <v>7</v>
      </c>
      <c r="M11">
        <v>22</v>
      </c>
      <c r="N11">
        <v>30</v>
      </c>
      <c r="O11">
        <v>2</v>
      </c>
      <c r="P11">
        <v>5</v>
      </c>
      <c r="Q11">
        <v>5</v>
      </c>
      <c r="R11">
        <v>0</v>
      </c>
      <c r="S11">
        <v>0</v>
      </c>
      <c r="T11">
        <v>6</v>
      </c>
      <c r="U11">
        <v>6</v>
      </c>
      <c r="V11">
        <v>0</v>
      </c>
      <c r="W11">
        <v>1</v>
      </c>
      <c r="X11">
        <f t="shared" si="0"/>
        <v>221</v>
      </c>
    </row>
    <row r="12" spans="1:25" x14ac:dyDescent="0.3">
      <c r="A12" s="5">
        <v>46153</v>
      </c>
      <c r="B12">
        <v>15</v>
      </c>
      <c r="C12" t="s">
        <v>58</v>
      </c>
      <c r="D12" t="s">
        <v>4</v>
      </c>
      <c r="E12">
        <v>17444427</v>
      </c>
      <c r="F12">
        <v>67</v>
      </c>
      <c r="G12">
        <v>25</v>
      </c>
      <c r="H12">
        <v>10</v>
      </c>
      <c r="I12">
        <v>20</v>
      </c>
      <c r="J12">
        <v>0</v>
      </c>
      <c r="K12">
        <v>31</v>
      </c>
      <c r="L12">
        <v>17</v>
      </c>
      <c r="M12">
        <v>10</v>
      </c>
      <c r="N12">
        <v>30</v>
      </c>
      <c r="O12">
        <v>3</v>
      </c>
      <c r="P12">
        <v>1</v>
      </c>
      <c r="Q12">
        <v>7</v>
      </c>
      <c r="R12">
        <v>0</v>
      </c>
      <c r="S12">
        <v>2</v>
      </c>
      <c r="T12">
        <v>6</v>
      </c>
      <c r="U12">
        <v>7</v>
      </c>
      <c r="V12">
        <v>9</v>
      </c>
      <c r="W12">
        <v>0</v>
      </c>
      <c r="X12">
        <f t="shared" si="0"/>
        <v>210</v>
      </c>
    </row>
    <row r="13" spans="1:25" x14ac:dyDescent="0.3">
      <c r="D13" s="2" t="s">
        <v>219</v>
      </c>
      <c r="E13" s="2">
        <f>SUM(E2:E12)</f>
        <v>146536075</v>
      </c>
      <c r="F13" s="7" t="s">
        <v>300</v>
      </c>
      <c r="G13" s="7" t="s">
        <v>301</v>
      </c>
      <c r="H13" s="7" t="s">
        <v>302</v>
      </c>
      <c r="I13" s="7" t="s">
        <v>303</v>
      </c>
      <c r="J13" s="7" t="s">
        <v>294</v>
      </c>
      <c r="K13" s="7" t="s">
        <v>304</v>
      </c>
      <c r="L13" s="7" t="s">
        <v>305</v>
      </c>
      <c r="M13" s="7" t="s">
        <v>306</v>
      </c>
      <c r="N13" s="7" t="s">
        <v>307</v>
      </c>
      <c r="O13" s="7" t="s">
        <v>308</v>
      </c>
      <c r="P13" s="7" t="s">
        <v>309</v>
      </c>
      <c r="W13" s="2" t="s">
        <v>246</v>
      </c>
      <c r="X13" s="2">
        <f>MAX(X2:X12)</f>
        <v>307</v>
      </c>
    </row>
    <row r="14" spans="1:25" x14ac:dyDescent="0.3">
      <c r="A14" s="4"/>
      <c r="D14" s="2" t="s">
        <v>220</v>
      </c>
      <c r="E14" s="2">
        <f>MIN(E2:E12)</f>
        <v>1200000</v>
      </c>
      <c r="O14" s="2" t="s">
        <v>310</v>
      </c>
      <c r="P14" s="2" t="s">
        <v>311</v>
      </c>
      <c r="W14" s="2" t="s">
        <v>247</v>
      </c>
      <c r="X14" s="2">
        <f>MIN(X2:X12)</f>
        <v>153</v>
      </c>
    </row>
    <row r="15" spans="1:25" x14ac:dyDescent="0.3">
      <c r="D15" s="2" t="s">
        <v>221</v>
      </c>
      <c r="E15" s="2">
        <f>MAX(E2:E12)</f>
        <v>30000000</v>
      </c>
    </row>
    <row r="16" spans="1:25" x14ac:dyDescent="0.3">
      <c r="A16" s="4"/>
    </row>
    <row r="18" spans="1:1" x14ac:dyDescent="0.3">
      <c r="A18" s="4"/>
    </row>
    <row r="20" spans="1:1" x14ac:dyDescent="0.3">
      <c r="A20" s="4"/>
    </row>
    <row r="22" spans="1:1" x14ac:dyDescent="0.3">
      <c r="A22" s="4"/>
    </row>
    <row r="24" spans="1:1" x14ac:dyDescent="0.3">
      <c r="A24" s="4"/>
    </row>
    <row r="26" spans="1:1" x14ac:dyDescent="0.3">
      <c r="A26" s="4"/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1F80F-027A-421A-BF15-04E9896DA6FF}">
  <dimension ref="A1:Y15"/>
  <sheetViews>
    <sheetView topLeftCell="J2" workbookViewId="0">
      <selection activeCell="I16" sqref="I16"/>
    </sheetView>
  </sheetViews>
  <sheetFormatPr defaultRowHeight="14.4" x14ac:dyDescent="0.3"/>
  <cols>
    <col min="1" max="1" width="10.33203125" bestFit="1" customWidth="1"/>
    <col min="3" max="3" width="19.6640625" customWidth="1"/>
    <col min="4" max="4" width="19.88671875" customWidth="1"/>
    <col min="5" max="5" width="10" bestFit="1" customWidth="1"/>
    <col min="6" max="6" width="19.5546875" customWidth="1"/>
    <col min="7" max="7" width="22" customWidth="1"/>
    <col min="8" max="8" width="21.109375" customWidth="1"/>
    <col min="9" max="9" width="21.44140625" customWidth="1"/>
    <col min="10" max="10" width="21" customWidth="1"/>
    <col min="11" max="11" width="24.77734375" customWidth="1"/>
    <col min="12" max="12" width="21.5546875" customWidth="1"/>
    <col min="13" max="13" width="25.44140625" customWidth="1"/>
    <col min="14" max="14" width="22.109375" customWidth="1"/>
    <col min="15" max="15" width="17.5546875" bestFit="1" customWidth="1"/>
    <col min="16" max="16" width="16" bestFit="1" customWidth="1"/>
    <col min="22" max="22" width="13.77734375" bestFit="1" customWidth="1"/>
    <col min="23" max="23" width="26.33203125" bestFit="1" customWidth="1"/>
    <col min="24" max="24" width="16.33203125" customWidth="1"/>
    <col min="25" max="25" width="21" bestFit="1" customWidth="1"/>
  </cols>
  <sheetData>
    <row r="1" spans="1:25" ht="15.6" x14ac:dyDescent="0.3">
      <c r="A1" s="2" t="s">
        <v>25</v>
      </c>
      <c r="B1" s="3" t="s">
        <v>0</v>
      </c>
      <c r="C1" s="3" t="s">
        <v>1</v>
      </c>
      <c r="D1" s="3" t="s">
        <v>3</v>
      </c>
      <c r="E1" s="3" t="s">
        <v>6</v>
      </c>
      <c r="F1" s="3" t="s">
        <v>191</v>
      </c>
      <c r="G1" s="3" t="s">
        <v>192</v>
      </c>
      <c r="H1" s="3" t="s">
        <v>193</v>
      </c>
      <c r="I1" s="3" t="s">
        <v>194</v>
      </c>
      <c r="J1" s="3" t="s">
        <v>195</v>
      </c>
      <c r="K1" s="3" t="s">
        <v>196</v>
      </c>
      <c r="L1" s="3" t="s">
        <v>197</v>
      </c>
      <c r="M1" s="3" t="s">
        <v>198</v>
      </c>
      <c r="N1" s="3" t="s">
        <v>199</v>
      </c>
      <c r="O1" s="3" t="s">
        <v>7</v>
      </c>
      <c r="P1" s="3" t="s">
        <v>8</v>
      </c>
      <c r="Q1" s="3" t="s">
        <v>9</v>
      </c>
      <c r="R1" s="3" t="s">
        <v>10</v>
      </c>
      <c r="S1" s="3" t="s">
        <v>11</v>
      </c>
      <c r="T1" s="3" t="s">
        <v>24</v>
      </c>
      <c r="U1" s="3" t="s">
        <v>26</v>
      </c>
      <c r="V1" s="3" t="s">
        <v>12</v>
      </c>
      <c r="W1" s="3" t="s">
        <v>13</v>
      </c>
      <c r="X1" s="3" t="s">
        <v>226</v>
      </c>
      <c r="Y1" s="3" t="s">
        <v>224</v>
      </c>
    </row>
    <row r="2" spans="1:25" x14ac:dyDescent="0.3">
      <c r="A2" s="5">
        <v>46086</v>
      </c>
      <c r="B2">
        <v>1</v>
      </c>
      <c r="C2" t="s">
        <v>242</v>
      </c>
      <c r="D2" t="s">
        <v>5</v>
      </c>
      <c r="E2">
        <v>16000000</v>
      </c>
      <c r="F2">
        <v>45</v>
      </c>
      <c r="G2">
        <v>25</v>
      </c>
      <c r="H2">
        <v>98</v>
      </c>
      <c r="I2">
        <v>91</v>
      </c>
      <c r="J2">
        <v>21</v>
      </c>
      <c r="K2">
        <v>31</v>
      </c>
      <c r="L2">
        <v>62</v>
      </c>
      <c r="M2">
        <v>55</v>
      </c>
      <c r="N2">
        <v>30</v>
      </c>
      <c r="O2">
        <v>14</v>
      </c>
      <c r="P2">
        <v>5</v>
      </c>
      <c r="Q2">
        <v>33</v>
      </c>
      <c r="R2">
        <v>9</v>
      </c>
      <c r="S2">
        <v>48</v>
      </c>
      <c r="T2">
        <v>10</v>
      </c>
      <c r="U2">
        <v>5</v>
      </c>
      <c r="V2">
        <v>0</v>
      </c>
      <c r="W2">
        <v>1</v>
      </c>
      <c r="X2">
        <f>SUM(F2:N2)</f>
        <v>458</v>
      </c>
      <c r="Y2" s="2" t="s">
        <v>245</v>
      </c>
    </row>
    <row r="3" spans="1:25" x14ac:dyDescent="0.3">
      <c r="A3" s="5">
        <v>46089</v>
      </c>
      <c r="B3">
        <v>2</v>
      </c>
      <c r="C3" t="s">
        <v>59</v>
      </c>
      <c r="D3" t="s">
        <v>125</v>
      </c>
      <c r="E3">
        <v>15000000</v>
      </c>
      <c r="F3">
        <v>25</v>
      </c>
      <c r="G3">
        <v>22</v>
      </c>
      <c r="H3">
        <v>25</v>
      </c>
      <c r="I3">
        <v>20</v>
      </c>
      <c r="J3">
        <v>20</v>
      </c>
      <c r="K3">
        <v>20</v>
      </c>
      <c r="L3">
        <v>20</v>
      </c>
      <c r="M3">
        <v>20</v>
      </c>
      <c r="N3">
        <v>21</v>
      </c>
      <c r="O3">
        <v>21</v>
      </c>
      <c r="P3">
        <v>6</v>
      </c>
      <c r="Q3">
        <v>22</v>
      </c>
      <c r="R3">
        <v>8</v>
      </c>
      <c r="S3">
        <v>54</v>
      </c>
      <c r="T3">
        <v>2</v>
      </c>
      <c r="U3">
        <v>3</v>
      </c>
      <c r="V3">
        <v>0</v>
      </c>
      <c r="W3">
        <v>0</v>
      </c>
      <c r="X3">
        <f t="shared" ref="X3:X12" si="0">SUM(F3:N3)</f>
        <v>193</v>
      </c>
    </row>
    <row r="4" spans="1:25" x14ac:dyDescent="0.3">
      <c r="A4" s="5">
        <v>46092</v>
      </c>
      <c r="B4">
        <v>3</v>
      </c>
      <c r="C4" t="s">
        <v>60</v>
      </c>
      <c r="D4" t="s">
        <v>122</v>
      </c>
      <c r="E4">
        <v>45000000</v>
      </c>
      <c r="F4">
        <v>10</v>
      </c>
      <c r="G4">
        <v>10</v>
      </c>
      <c r="H4">
        <v>25</v>
      </c>
      <c r="I4">
        <v>39</v>
      </c>
      <c r="J4">
        <v>32</v>
      </c>
      <c r="K4">
        <v>24</v>
      </c>
      <c r="L4">
        <v>4</v>
      </c>
      <c r="M4">
        <v>1</v>
      </c>
      <c r="N4">
        <v>32</v>
      </c>
      <c r="O4">
        <v>32</v>
      </c>
      <c r="P4">
        <v>5</v>
      </c>
      <c r="Q4">
        <v>10</v>
      </c>
      <c r="R4">
        <v>5</v>
      </c>
      <c r="S4">
        <v>35</v>
      </c>
      <c r="T4">
        <v>6</v>
      </c>
      <c r="U4">
        <v>2</v>
      </c>
      <c r="V4">
        <v>0</v>
      </c>
      <c r="W4">
        <v>3</v>
      </c>
      <c r="X4">
        <f t="shared" si="0"/>
        <v>177</v>
      </c>
    </row>
    <row r="5" spans="1:25" x14ac:dyDescent="0.3">
      <c r="A5" s="5">
        <v>46101</v>
      </c>
      <c r="B5">
        <v>4</v>
      </c>
      <c r="C5" t="s">
        <v>61</v>
      </c>
      <c r="D5" t="s">
        <v>124</v>
      </c>
      <c r="E5">
        <v>5000000</v>
      </c>
      <c r="F5">
        <v>35</v>
      </c>
      <c r="G5">
        <v>10</v>
      </c>
      <c r="H5">
        <v>25</v>
      </c>
      <c r="I5">
        <v>67</v>
      </c>
      <c r="J5">
        <v>25</v>
      </c>
      <c r="K5">
        <v>36</v>
      </c>
      <c r="L5">
        <v>4</v>
      </c>
      <c r="M5">
        <v>1</v>
      </c>
      <c r="N5">
        <v>22</v>
      </c>
      <c r="O5">
        <v>22</v>
      </c>
      <c r="P5">
        <v>8</v>
      </c>
      <c r="Q5">
        <v>6</v>
      </c>
      <c r="R5">
        <v>4</v>
      </c>
      <c r="S5">
        <v>26</v>
      </c>
      <c r="T5">
        <v>6</v>
      </c>
      <c r="U5">
        <v>4</v>
      </c>
      <c r="V5">
        <v>0</v>
      </c>
      <c r="W5">
        <v>2</v>
      </c>
      <c r="X5">
        <f t="shared" si="0"/>
        <v>225</v>
      </c>
    </row>
    <row r="6" spans="1:25" x14ac:dyDescent="0.3">
      <c r="A6" s="5">
        <v>46108</v>
      </c>
      <c r="B6">
        <v>5</v>
      </c>
      <c r="C6" t="s">
        <v>62</v>
      </c>
      <c r="D6" t="s">
        <v>124</v>
      </c>
      <c r="E6">
        <v>6000000</v>
      </c>
      <c r="F6">
        <v>27</v>
      </c>
      <c r="G6">
        <v>10</v>
      </c>
      <c r="H6">
        <v>25</v>
      </c>
      <c r="I6">
        <v>19</v>
      </c>
      <c r="J6">
        <v>4</v>
      </c>
      <c r="K6">
        <v>21</v>
      </c>
      <c r="L6">
        <v>4</v>
      </c>
      <c r="M6">
        <v>1</v>
      </c>
      <c r="N6">
        <v>21</v>
      </c>
      <c r="O6">
        <v>10</v>
      </c>
      <c r="P6">
        <v>9</v>
      </c>
      <c r="Q6">
        <v>11</v>
      </c>
      <c r="R6">
        <v>4</v>
      </c>
      <c r="S6">
        <v>15</v>
      </c>
      <c r="T6">
        <v>6</v>
      </c>
      <c r="U6">
        <v>0</v>
      </c>
      <c r="V6">
        <v>0</v>
      </c>
      <c r="W6">
        <v>1</v>
      </c>
      <c r="X6">
        <f t="shared" si="0"/>
        <v>132</v>
      </c>
    </row>
    <row r="7" spans="1:25" x14ac:dyDescent="0.3">
      <c r="A7" s="5">
        <v>46110</v>
      </c>
      <c r="B7">
        <v>6</v>
      </c>
      <c r="C7" t="s">
        <v>63</v>
      </c>
      <c r="D7" t="s">
        <v>122</v>
      </c>
      <c r="E7">
        <v>5001009</v>
      </c>
      <c r="F7">
        <v>27</v>
      </c>
      <c r="G7">
        <v>10</v>
      </c>
      <c r="H7">
        <v>25</v>
      </c>
      <c r="I7">
        <v>52</v>
      </c>
      <c r="J7">
        <v>1</v>
      </c>
      <c r="K7">
        <v>21</v>
      </c>
      <c r="L7">
        <v>4</v>
      </c>
      <c r="M7">
        <v>1</v>
      </c>
      <c r="N7">
        <v>25</v>
      </c>
      <c r="O7">
        <v>10</v>
      </c>
      <c r="P7">
        <v>7</v>
      </c>
      <c r="Q7">
        <v>19</v>
      </c>
      <c r="R7">
        <v>4</v>
      </c>
      <c r="S7">
        <v>3</v>
      </c>
      <c r="T7">
        <v>6</v>
      </c>
      <c r="U7">
        <v>3</v>
      </c>
      <c r="V7">
        <v>0</v>
      </c>
      <c r="W7">
        <v>3</v>
      </c>
      <c r="X7">
        <f t="shared" si="0"/>
        <v>166</v>
      </c>
    </row>
    <row r="8" spans="1:25" x14ac:dyDescent="0.3">
      <c r="A8" s="5">
        <v>46150</v>
      </c>
      <c r="B8">
        <v>11</v>
      </c>
      <c r="C8" t="s">
        <v>64</v>
      </c>
      <c r="D8" t="s">
        <v>5</v>
      </c>
      <c r="E8">
        <v>4000005</v>
      </c>
      <c r="F8">
        <v>27</v>
      </c>
      <c r="G8">
        <v>10</v>
      </c>
      <c r="H8">
        <v>25</v>
      </c>
      <c r="I8">
        <v>63</v>
      </c>
      <c r="J8">
        <v>14</v>
      </c>
      <c r="K8">
        <v>21</v>
      </c>
      <c r="L8">
        <v>4</v>
      </c>
      <c r="M8">
        <v>1</v>
      </c>
      <c r="N8">
        <v>65</v>
      </c>
      <c r="O8">
        <v>10</v>
      </c>
      <c r="P8">
        <v>2</v>
      </c>
      <c r="Q8">
        <v>12</v>
      </c>
      <c r="R8">
        <v>4</v>
      </c>
      <c r="S8">
        <v>84</v>
      </c>
      <c r="T8">
        <v>6</v>
      </c>
      <c r="U8">
        <v>0</v>
      </c>
      <c r="V8">
        <v>0</v>
      </c>
      <c r="W8">
        <v>0</v>
      </c>
      <c r="X8">
        <f t="shared" si="0"/>
        <v>230</v>
      </c>
    </row>
    <row r="9" spans="1:25" x14ac:dyDescent="0.3">
      <c r="A9" s="5">
        <v>46154</v>
      </c>
      <c r="B9">
        <v>12</v>
      </c>
      <c r="C9" t="s">
        <v>65</v>
      </c>
      <c r="D9" t="s">
        <v>5</v>
      </c>
      <c r="E9">
        <v>16000000</v>
      </c>
      <c r="F9">
        <v>27</v>
      </c>
      <c r="G9">
        <v>10</v>
      </c>
      <c r="H9">
        <v>92</v>
      </c>
      <c r="I9">
        <v>63</v>
      </c>
      <c r="J9">
        <v>2</v>
      </c>
      <c r="K9">
        <v>0</v>
      </c>
      <c r="L9">
        <v>4</v>
      </c>
      <c r="M9">
        <v>1</v>
      </c>
      <c r="N9">
        <v>65</v>
      </c>
      <c r="O9">
        <v>3</v>
      </c>
      <c r="P9">
        <v>1</v>
      </c>
      <c r="Q9">
        <v>10</v>
      </c>
      <c r="R9">
        <v>4</v>
      </c>
      <c r="S9">
        <v>36</v>
      </c>
      <c r="T9">
        <v>20</v>
      </c>
      <c r="U9">
        <v>1</v>
      </c>
      <c r="V9">
        <v>0</v>
      </c>
      <c r="W9">
        <v>0</v>
      </c>
      <c r="X9">
        <f t="shared" si="0"/>
        <v>264</v>
      </c>
    </row>
    <row r="10" spans="1:25" x14ac:dyDescent="0.3">
      <c r="A10" s="5">
        <v>46161</v>
      </c>
      <c r="B10">
        <v>13</v>
      </c>
      <c r="C10" t="s">
        <v>66</v>
      </c>
      <c r="D10" t="s">
        <v>4</v>
      </c>
      <c r="E10">
        <v>5000001</v>
      </c>
      <c r="F10">
        <v>27</v>
      </c>
      <c r="G10">
        <v>10</v>
      </c>
      <c r="H10">
        <v>22</v>
      </c>
      <c r="I10">
        <v>63</v>
      </c>
      <c r="J10">
        <v>20</v>
      </c>
      <c r="K10">
        <v>20</v>
      </c>
      <c r="L10">
        <v>20</v>
      </c>
      <c r="M10">
        <v>22</v>
      </c>
      <c r="N10">
        <v>65</v>
      </c>
      <c r="O10">
        <v>7</v>
      </c>
      <c r="P10">
        <v>6</v>
      </c>
      <c r="Q10">
        <v>6</v>
      </c>
      <c r="R10">
        <v>4</v>
      </c>
      <c r="S10">
        <v>15</v>
      </c>
      <c r="T10">
        <v>25</v>
      </c>
      <c r="U10">
        <v>1</v>
      </c>
      <c r="V10">
        <v>3</v>
      </c>
      <c r="W10">
        <v>0</v>
      </c>
      <c r="X10">
        <f t="shared" si="0"/>
        <v>269</v>
      </c>
    </row>
    <row r="11" spans="1:25" x14ac:dyDescent="0.3">
      <c r="A11" s="5">
        <v>46168</v>
      </c>
      <c r="B11">
        <v>14</v>
      </c>
      <c r="C11" t="s">
        <v>68</v>
      </c>
      <c r="D11" t="s">
        <v>5</v>
      </c>
      <c r="E11">
        <v>1900005</v>
      </c>
      <c r="F11">
        <v>27</v>
      </c>
      <c r="G11">
        <v>64</v>
      </c>
      <c r="H11">
        <v>10</v>
      </c>
      <c r="I11">
        <v>24</v>
      </c>
      <c r="J11">
        <v>10</v>
      </c>
      <c r="K11">
        <v>0</v>
      </c>
      <c r="L11">
        <v>4</v>
      </c>
      <c r="M11">
        <v>22</v>
      </c>
      <c r="N11">
        <v>65</v>
      </c>
      <c r="O11">
        <v>2</v>
      </c>
      <c r="P11">
        <v>5</v>
      </c>
      <c r="Q11">
        <v>5</v>
      </c>
      <c r="R11">
        <v>4</v>
      </c>
      <c r="S11">
        <v>5</v>
      </c>
      <c r="T11">
        <v>5</v>
      </c>
      <c r="U11">
        <v>5</v>
      </c>
      <c r="V11">
        <v>5</v>
      </c>
      <c r="W11">
        <v>5</v>
      </c>
      <c r="X11">
        <f t="shared" si="0"/>
        <v>226</v>
      </c>
    </row>
    <row r="12" spans="1:25" x14ac:dyDescent="0.3">
      <c r="A12" s="5">
        <v>46184</v>
      </c>
      <c r="B12">
        <v>15</v>
      </c>
      <c r="C12" t="s">
        <v>67</v>
      </c>
      <c r="D12" t="s">
        <v>4</v>
      </c>
      <c r="E12">
        <v>60001541</v>
      </c>
      <c r="F12">
        <v>67</v>
      </c>
      <c r="G12">
        <v>25</v>
      </c>
      <c r="H12">
        <v>10</v>
      </c>
      <c r="I12">
        <v>98</v>
      </c>
      <c r="J12">
        <v>0</v>
      </c>
      <c r="K12">
        <v>0</v>
      </c>
      <c r="L12">
        <v>4</v>
      </c>
      <c r="M12">
        <v>10</v>
      </c>
      <c r="N12">
        <v>65</v>
      </c>
      <c r="O12">
        <v>3</v>
      </c>
      <c r="P12">
        <v>1</v>
      </c>
      <c r="Q12">
        <v>7</v>
      </c>
      <c r="R12">
        <v>4</v>
      </c>
      <c r="S12">
        <v>2</v>
      </c>
      <c r="T12">
        <v>22</v>
      </c>
      <c r="U12">
        <v>7</v>
      </c>
      <c r="V12">
        <v>9</v>
      </c>
      <c r="W12">
        <v>0</v>
      </c>
      <c r="X12">
        <f t="shared" si="0"/>
        <v>279</v>
      </c>
    </row>
    <row r="13" spans="1:25" x14ac:dyDescent="0.3">
      <c r="D13" s="2" t="s">
        <v>219</v>
      </c>
      <c r="E13" s="2">
        <f>SUM(E2:E12)</f>
        <v>178902561</v>
      </c>
      <c r="F13" s="7" t="s">
        <v>312</v>
      </c>
      <c r="G13" s="7" t="s">
        <v>313</v>
      </c>
      <c r="H13" s="7" t="s">
        <v>314</v>
      </c>
      <c r="I13" s="7" t="s">
        <v>315</v>
      </c>
      <c r="J13" s="7" t="s">
        <v>285</v>
      </c>
      <c r="K13" s="7" t="s">
        <v>316</v>
      </c>
      <c r="L13" s="7" t="s">
        <v>317</v>
      </c>
      <c r="M13" s="7" t="s">
        <v>318</v>
      </c>
      <c r="N13" s="7" t="s">
        <v>319</v>
      </c>
      <c r="O13" s="7" t="s">
        <v>317</v>
      </c>
      <c r="P13" s="7" t="s">
        <v>320</v>
      </c>
      <c r="W13" s="2" t="s">
        <v>243</v>
      </c>
      <c r="X13" s="2">
        <f>MAX(X2:X12)</f>
        <v>458</v>
      </c>
    </row>
    <row r="14" spans="1:25" x14ac:dyDescent="0.3">
      <c r="D14" s="2" t="s">
        <v>220</v>
      </c>
      <c r="E14" s="2">
        <f>MIN(E2:E12)</f>
        <v>1900005</v>
      </c>
      <c r="F14" s="7"/>
      <c r="G14" s="7"/>
      <c r="H14" s="7"/>
      <c r="I14" s="7"/>
      <c r="J14" s="7"/>
      <c r="K14" s="7"/>
      <c r="L14" s="7"/>
      <c r="M14" s="7"/>
      <c r="N14" s="7"/>
      <c r="O14" s="7" t="s">
        <v>321</v>
      </c>
      <c r="P14" s="7" t="s">
        <v>322</v>
      </c>
      <c r="W14" s="2" t="s">
        <v>244</v>
      </c>
      <c r="X14" s="2">
        <f>MIN(X2:X12)</f>
        <v>132</v>
      </c>
    </row>
    <row r="15" spans="1:25" x14ac:dyDescent="0.3">
      <c r="D15" s="2" t="s">
        <v>221</v>
      </c>
      <c r="E15" s="2">
        <f>MAX(E2:E12)</f>
        <v>60001541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8FA3A-047C-4ED2-8B00-842602E06D81}">
  <dimension ref="A1:Y15"/>
  <sheetViews>
    <sheetView topLeftCell="D1" workbookViewId="0">
      <selection activeCell="P14" sqref="F13:P14"/>
    </sheetView>
  </sheetViews>
  <sheetFormatPr defaultRowHeight="14.4" x14ac:dyDescent="0.3"/>
  <cols>
    <col min="1" max="1" width="10.33203125" bestFit="1" customWidth="1"/>
    <col min="3" max="3" width="15.6640625" customWidth="1"/>
    <col min="4" max="4" width="18.44140625" customWidth="1"/>
    <col min="5" max="5" width="11" customWidth="1"/>
    <col min="6" max="6" width="13.5546875" customWidth="1"/>
    <col min="7" max="7" width="13.109375" customWidth="1"/>
    <col min="8" max="8" width="15.44140625" customWidth="1"/>
    <col min="9" max="9" width="15.5546875" customWidth="1"/>
    <col min="11" max="11" width="15.21875" customWidth="1"/>
    <col min="12" max="12" width="14.5546875" customWidth="1"/>
    <col min="13" max="13" width="19.21875" customWidth="1"/>
    <col min="14" max="14" width="15" customWidth="1"/>
    <col min="15" max="15" width="15.21875" bestFit="1" customWidth="1"/>
    <col min="16" max="16" width="16" bestFit="1" customWidth="1"/>
    <col min="22" max="22" width="13.77734375" bestFit="1" customWidth="1"/>
    <col min="23" max="23" width="28" bestFit="1" customWidth="1"/>
    <col min="24" max="24" width="19.109375" customWidth="1"/>
    <col min="25" max="25" width="21" bestFit="1" customWidth="1"/>
  </cols>
  <sheetData>
    <row r="1" spans="1:25" ht="15.6" x14ac:dyDescent="0.3">
      <c r="A1" s="2" t="s">
        <v>25</v>
      </c>
      <c r="B1" s="3" t="s">
        <v>0</v>
      </c>
      <c r="C1" s="3" t="s">
        <v>1</v>
      </c>
      <c r="D1" s="3" t="s">
        <v>3</v>
      </c>
      <c r="E1" s="3" t="s">
        <v>6</v>
      </c>
      <c r="F1" s="3" t="s">
        <v>210</v>
      </c>
      <c r="G1" s="3" t="s">
        <v>211</v>
      </c>
      <c r="H1" s="3" t="s">
        <v>212</v>
      </c>
      <c r="I1" s="3" t="s">
        <v>213</v>
      </c>
      <c r="J1" s="3" t="s">
        <v>214</v>
      </c>
      <c r="K1" s="3" t="s">
        <v>215</v>
      </c>
      <c r="L1" s="3" t="s">
        <v>216</v>
      </c>
      <c r="M1" s="3" t="s">
        <v>217</v>
      </c>
      <c r="N1" s="3" t="s">
        <v>218</v>
      </c>
      <c r="O1" s="3" t="s">
        <v>7</v>
      </c>
      <c r="P1" s="3" t="s">
        <v>8</v>
      </c>
      <c r="Q1" s="3" t="s">
        <v>9</v>
      </c>
      <c r="R1" s="3" t="s">
        <v>10</v>
      </c>
      <c r="S1" s="3" t="s">
        <v>11</v>
      </c>
      <c r="T1" s="3" t="s">
        <v>24</v>
      </c>
      <c r="U1" s="3" t="s">
        <v>26</v>
      </c>
      <c r="V1" s="3" t="s">
        <v>12</v>
      </c>
      <c r="W1" s="3" t="s">
        <v>13</v>
      </c>
      <c r="X1" s="3" t="s">
        <v>226</v>
      </c>
      <c r="Y1" s="3" t="s">
        <v>224</v>
      </c>
    </row>
    <row r="2" spans="1:25" x14ac:dyDescent="0.3">
      <c r="A2" s="5">
        <v>46093</v>
      </c>
      <c r="B2">
        <v>1</v>
      </c>
      <c r="C2" t="s">
        <v>38</v>
      </c>
      <c r="D2" t="s">
        <v>4</v>
      </c>
      <c r="E2">
        <v>25252500</v>
      </c>
      <c r="F2">
        <v>45</v>
      </c>
      <c r="G2">
        <v>45</v>
      </c>
      <c r="H2">
        <v>45</v>
      </c>
      <c r="I2">
        <v>45</v>
      </c>
      <c r="J2">
        <v>45</v>
      </c>
      <c r="K2">
        <v>45</v>
      </c>
      <c r="L2">
        <v>45</v>
      </c>
      <c r="M2">
        <v>55</v>
      </c>
      <c r="N2">
        <v>30</v>
      </c>
      <c r="O2">
        <v>14</v>
      </c>
      <c r="P2">
        <v>5</v>
      </c>
      <c r="Q2">
        <v>33</v>
      </c>
      <c r="R2">
        <v>9</v>
      </c>
      <c r="S2">
        <v>48</v>
      </c>
      <c r="T2">
        <v>10</v>
      </c>
      <c r="U2">
        <v>5</v>
      </c>
      <c r="V2">
        <v>0</v>
      </c>
      <c r="W2">
        <v>1</v>
      </c>
      <c r="X2">
        <f>SUM(F2:N2)</f>
        <v>400</v>
      </c>
      <c r="Y2" s="2" t="s">
        <v>241</v>
      </c>
    </row>
    <row r="3" spans="1:25" x14ac:dyDescent="0.3">
      <c r="A3" s="5">
        <v>46099</v>
      </c>
      <c r="B3">
        <v>2</v>
      </c>
      <c r="C3" t="s">
        <v>39</v>
      </c>
      <c r="D3" t="s">
        <v>4</v>
      </c>
      <c r="E3">
        <v>6363991</v>
      </c>
      <c r="F3">
        <v>25</v>
      </c>
      <c r="G3">
        <v>25</v>
      </c>
      <c r="H3">
        <v>25</v>
      </c>
      <c r="I3">
        <v>25</v>
      </c>
      <c r="J3">
        <v>25</v>
      </c>
      <c r="K3">
        <v>25</v>
      </c>
      <c r="L3">
        <v>25</v>
      </c>
      <c r="M3">
        <v>25</v>
      </c>
      <c r="N3">
        <v>25</v>
      </c>
      <c r="O3">
        <v>25</v>
      </c>
      <c r="P3">
        <v>6</v>
      </c>
      <c r="Q3">
        <v>22</v>
      </c>
      <c r="R3">
        <v>8</v>
      </c>
      <c r="S3">
        <v>54</v>
      </c>
      <c r="T3">
        <v>2</v>
      </c>
      <c r="U3">
        <v>3</v>
      </c>
      <c r="V3">
        <v>0</v>
      </c>
      <c r="W3">
        <v>0</v>
      </c>
      <c r="X3">
        <f t="shared" ref="X3:X12" si="0">SUM(F3:N3)</f>
        <v>225</v>
      </c>
    </row>
    <row r="4" spans="1:25" x14ac:dyDescent="0.3">
      <c r="A4" s="5">
        <v>46100</v>
      </c>
      <c r="B4">
        <v>3</v>
      </c>
      <c r="C4" t="s">
        <v>40</v>
      </c>
      <c r="D4" t="s">
        <v>124</v>
      </c>
      <c r="E4">
        <v>4910036</v>
      </c>
      <c r="F4">
        <v>10</v>
      </c>
      <c r="G4">
        <v>10</v>
      </c>
      <c r="H4">
        <v>98</v>
      </c>
      <c r="I4">
        <v>39</v>
      </c>
      <c r="J4">
        <v>32</v>
      </c>
      <c r="K4">
        <v>24</v>
      </c>
      <c r="L4">
        <v>4</v>
      </c>
      <c r="M4">
        <v>1</v>
      </c>
      <c r="N4">
        <v>32</v>
      </c>
      <c r="O4">
        <v>32</v>
      </c>
      <c r="P4">
        <v>5</v>
      </c>
      <c r="Q4">
        <v>10</v>
      </c>
      <c r="R4">
        <v>10</v>
      </c>
      <c r="S4">
        <v>10</v>
      </c>
      <c r="T4">
        <v>10</v>
      </c>
      <c r="U4">
        <v>10</v>
      </c>
      <c r="V4">
        <v>10</v>
      </c>
      <c r="W4">
        <v>10</v>
      </c>
      <c r="X4">
        <f t="shared" si="0"/>
        <v>250</v>
      </c>
    </row>
    <row r="5" spans="1:25" x14ac:dyDescent="0.3">
      <c r="A5" s="5">
        <v>46106</v>
      </c>
      <c r="B5">
        <v>4</v>
      </c>
      <c r="C5" t="s">
        <v>41</v>
      </c>
      <c r="D5" t="s">
        <v>122</v>
      </c>
      <c r="E5">
        <v>36101025</v>
      </c>
      <c r="F5">
        <v>35</v>
      </c>
      <c r="G5">
        <v>10</v>
      </c>
      <c r="H5">
        <v>98</v>
      </c>
      <c r="I5">
        <v>67</v>
      </c>
      <c r="J5">
        <v>25</v>
      </c>
      <c r="K5">
        <v>36</v>
      </c>
      <c r="L5">
        <v>88</v>
      </c>
      <c r="M5">
        <v>5</v>
      </c>
      <c r="N5">
        <v>22</v>
      </c>
      <c r="O5">
        <v>22</v>
      </c>
      <c r="P5">
        <v>8</v>
      </c>
      <c r="Q5">
        <v>6</v>
      </c>
      <c r="R5">
        <v>4</v>
      </c>
      <c r="S5">
        <v>26</v>
      </c>
      <c r="T5">
        <v>10</v>
      </c>
      <c r="U5">
        <v>4</v>
      </c>
      <c r="V5">
        <v>4</v>
      </c>
      <c r="W5">
        <v>2</v>
      </c>
      <c r="X5">
        <f t="shared" si="0"/>
        <v>386</v>
      </c>
    </row>
    <row r="6" spans="1:25" x14ac:dyDescent="0.3">
      <c r="A6" s="5">
        <v>46109</v>
      </c>
      <c r="B6">
        <v>5</v>
      </c>
      <c r="C6" t="s">
        <v>42</v>
      </c>
      <c r="D6" t="s">
        <v>5</v>
      </c>
      <c r="E6">
        <v>10123711</v>
      </c>
      <c r="F6">
        <v>12</v>
      </c>
      <c r="G6">
        <v>10</v>
      </c>
      <c r="H6">
        <v>98</v>
      </c>
      <c r="I6">
        <v>19</v>
      </c>
      <c r="J6">
        <v>4</v>
      </c>
      <c r="K6">
        <v>21</v>
      </c>
      <c r="L6">
        <v>63</v>
      </c>
      <c r="M6">
        <v>6</v>
      </c>
      <c r="N6">
        <v>21</v>
      </c>
      <c r="O6">
        <v>10</v>
      </c>
      <c r="P6">
        <v>9</v>
      </c>
      <c r="Q6">
        <v>11</v>
      </c>
      <c r="R6">
        <v>2</v>
      </c>
      <c r="S6">
        <v>15</v>
      </c>
      <c r="T6">
        <v>21</v>
      </c>
      <c r="U6">
        <v>0</v>
      </c>
      <c r="V6">
        <v>13</v>
      </c>
      <c r="W6">
        <v>1</v>
      </c>
      <c r="X6">
        <f t="shared" si="0"/>
        <v>254</v>
      </c>
    </row>
    <row r="7" spans="1:25" x14ac:dyDescent="0.3">
      <c r="A7" s="5">
        <v>46117</v>
      </c>
      <c r="B7">
        <v>10</v>
      </c>
      <c r="C7" t="s">
        <v>43</v>
      </c>
      <c r="D7" t="s">
        <v>122</v>
      </c>
      <c r="E7">
        <v>10111213</v>
      </c>
      <c r="F7">
        <v>37</v>
      </c>
      <c r="G7">
        <v>10</v>
      </c>
      <c r="H7">
        <v>27</v>
      </c>
      <c r="I7">
        <v>41</v>
      </c>
      <c r="J7">
        <v>4</v>
      </c>
      <c r="K7">
        <v>21</v>
      </c>
      <c r="L7">
        <v>26</v>
      </c>
      <c r="M7">
        <v>35</v>
      </c>
      <c r="N7">
        <v>33</v>
      </c>
      <c r="O7">
        <v>8</v>
      </c>
      <c r="P7">
        <v>2</v>
      </c>
      <c r="Q7">
        <v>13</v>
      </c>
      <c r="R7">
        <v>3</v>
      </c>
      <c r="S7">
        <v>3</v>
      </c>
      <c r="T7">
        <v>3</v>
      </c>
      <c r="U7">
        <v>3</v>
      </c>
      <c r="V7">
        <v>3</v>
      </c>
      <c r="W7">
        <v>3</v>
      </c>
      <c r="X7">
        <f t="shared" si="0"/>
        <v>234</v>
      </c>
    </row>
    <row r="8" spans="1:25" x14ac:dyDescent="0.3">
      <c r="A8" s="5">
        <v>46120</v>
      </c>
      <c r="B8">
        <v>11</v>
      </c>
      <c r="C8" t="s">
        <v>44</v>
      </c>
      <c r="D8" t="s">
        <v>5</v>
      </c>
      <c r="E8">
        <v>27426652</v>
      </c>
      <c r="F8">
        <v>11</v>
      </c>
      <c r="G8">
        <v>10</v>
      </c>
      <c r="H8">
        <v>27</v>
      </c>
      <c r="I8">
        <v>36</v>
      </c>
      <c r="J8">
        <v>4</v>
      </c>
      <c r="K8">
        <v>21</v>
      </c>
      <c r="L8">
        <v>37</v>
      </c>
      <c r="M8">
        <v>96</v>
      </c>
      <c r="N8">
        <v>22</v>
      </c>
      <c r="O8">
        <v>10</v>
      </c>
      <c r="P8">
        <v>2</v>
      </c>
      <c r="Q8">
        <v>12</v>
      </c>
      <c r="R8">
        <v>6</v>
      </c>
      <c r="S8">
        <v>84</v>
      </c>
      <c r="T8">
        <v>15</v>
      </c>
      <c r="U8">
        <v>0</v>
      </c>
      <c r="V8">
        <v>6</v>
      </c>
      <c r="W8">
        <v>0</v>
      </c>
      <c r="X8">
        <f t="shared" si="0"/>
        <v>264</v>
      </c>
    </row>
    <row r="9" spans="1:25" x14ac:dyDescent="0.3">
      <c r="A9" s="5">
        <v>46124</v>
      </c>
      <c r="B9">
        <v>12</v>
      </c>
      <c r="C9" t="s">
        <v>209</v>
      </c>
      <c r="D9" t="s">
        <v>122</v>
      </c>
      <c r="E9">
        <v>99999910</v>
      </c>
      <c r="F9">
        <v>35</v>
      </c>
      <c r="G9">
        <v>10</v>
      </c>
      <c r="H9">
        <v>27</v>
      </c>
      <c r="I9">
        <v>96</v>
      </c>
      <c r="J9">
        <v>4</v>
      </c>
      <c r="K9">
        <v>21</v>
      </c>
      <c r="L9">
        <v>1</v>
      </c>
      <c r="M9">
        <v>33</v>
      </c>
      <c r="N9">
        <v>2</v>
      </c>
      <c r="O9">
        <v>3</v>
      </c>
      <c r="P9">
        <v>1</v>
      </c>
      <c r="Q9">
        <v>10</v>
      </c>
      <c r="R9">
        <v>8</v>
      </c>
      <c r="S9">
        <v>36</v>
      </c>
      <c r="T9">
        <v>20</v>
      </c>
      <c r="U9">
        <v>1</v>
      </c>
      <c r="V9">
        <v>5</v>
      </c>
      <c r="W9">
        <v>0</v>
      </c>
      <c r="X9">
        <f t="shared" si="0"/>
        <v>229</v>
      </c>
    </row>
    <row r="10" spans="1:25" x14ac:dyDescent="0.3">
      <c r="A10" s="5">
        <v>46131</v>
      </c>
      <c r="B10">
        <v>13</v>
      </c>
      <c r="C10" t="s">
        <v>45</v>
      </c>
      <c r="D10" t="s">
        <v>4</v>
      </c>
      <c r="E10">
        <v>45373677</v>
      </c>
      <c r="F10">
        <v>21</v>
      </c>
      <c r="G10">
        <v>68</v>
      </c>
      <c r="H10">
        <v>27</v>
      </c>
      <c r="I10">
        <v>36</v>
      </c>
      <c r="J10">
        <v>20</v>
      </c>
      <c r="K10">
        <v>0</v>
      </c>
      <c r="L10">
        <v>5</v>
      </c>
      <c r="M10">
        <v>22</v>
      </c>
      <c r="N10">
        <v>4</v>
      </c>
      <c r="O10">
        <v>7</v>
      </c>
      <c r="P10">
        <v>6</v>
      </c>
      <c r="Q10">
        <v>6</v>
      </c>
      <c r="R10">
        <v>9</v>
      </c>
      <c r="S10">
        <v>15</v>
      </c>
      <c r="T10">
        <v>25</v>
      </c>
      <c r="U10">
        <v>1</v>
      </c>
      <c r="V10">
        <v>3</v>
      </c>
      <c r="W10">
        <v>0</v>
      </c>
      <c r="X10">
        <f t="shared" si="0"/>
        <v>203</v>
      </c>
    </row>
    <row r="11" spans="1:25" x14ac:dyDescent="0.3">
      <c r="A11" s="5">
        <v>46138</v>
      </c>
      <c r="B11">
        <v>14</v>
      </c>
      <c r="C11" t="s">
        <v>46</v>
      </c>
      <c r="D11" t="s">
        <v>5</v>
      </c>
      <c r="E11">
        <v>99999999</v>
      </c>
      <c r="F11">
        <v>27</v>
      </c>
      <c r="G11">
        <v>27</v>
      </c>
      <c r="H11">
        <v>27</v>
      </c>
      <c r="I11">
        <v>27</v>
      </c>
      <c r="J11">
        <v>27</v>
      </c>
      <c r="K11">
        <v>27</v>
      </c>
      <c r="L11">
        <v>27</v>
      </c>
      <c r="M11">
        <v>27</v>
      </c>
      <c r="N11">
        <v>27</v>
      </c>
      <c r="O11">
        <v>27</v>
      </c>
      <c r="P11">
        <v>27</v>
      </c>
      <c r="Q11">
        <v>27</v>
      </c>
      <c r="R11">
        <v>27</v>
      </c>
      <c r="S11">
        <v>27</v>
      </c>
      <c r="T11">
        <v>24</v>
      </c>
      <c r="U11">
        <v>6</v>
      </c>
      <c r="V11">
        <v>0</v>
      </c>
      <c r="W11">
        <v>1</v>
      </c>
      <c r="X11">
        <f t="shared" si="0"/>
        <v>243</v>
      </c>
    </row>
    <row r="12" spans="1:25" x14ac:dyDescent="0.3">
      <c r="A12" s="5">
        <v>46153</v>
      </c>
      <c r="B12">
        <v>15</v>
      </c>
      <c r="C12" t="s">
        <v>47</v>
      </c>
      <c r="D12" t="s">
        <v>125</v>
      </c>
      <c r="E12">
        <v>29000000</v>
      </c>
      <c r="F12">
        <v>67</v>
      </c>
      <c r="G12">
        <v>25</v>
      </c>
      <c r="H12">
        <v>10</v>
      </c>
      <c r="I12">
        <v>98</v>
      </c>
      <c r="J12">
        <v>0</v>
      </c>
      <c r="K12">
        <v>0</v>
      </c>
      <c r="L12">
        <v>17</v>
      </c>
      <c r="M12">
        <v>10</v>
      </c>
      <c r="N12">
        <v>10</v>
      </c>
      <c r="O12">
        <v>10</v>
      </c>
      <c r="P12">
        <v>10</v>
      </c>
      <c r="Q12">
        <v>10</v>
      </c>
      <c r="R12">
        <v>10</v>
      </c>
      <c r="S12">
        <v>10</v>
      </c>
      <c r="T12">
        <v>10</v>
      </c>
      <c r="U12">
        <v>10</v>
      </c>
      <c r="V12">
        <v>10</v>
      </c>
      <c r="W12">
        <v>10</v>
      </c>
      <c r="X12">
        <f t="shared" si="0"/>
        <v>237</v>
      </c>
    </row>
    <row r="13" spans="1:25" x14ac:dyDescent="0.3">
      <c r="D13" s="2" t="s">
        <v>219</v>
      </c>
      <c r="E13" s="2">
        <f>SUM(E2:E12)</f>
        <v>394662714</v>
      </c>
      <c r="F13" s="7" t="s">
        <v>323</v>
      </c>
      <c r="G13" s="7" t="s">
        <v>324</v>
      </c>
      <c r="H13" s="7" t="s">
        <v>325</v>
      </c>
      <c r="I13" s="7" t="s">
        <v>326</v>
      </c>
      <c r="J13" s="7" t="s">
        <v>327</v>
      </c>
      <c r="K13" s="7" t="s">
        <v>328</v>
      </c>
      <c r="L13" s="7" t="s">
        <v>329</v>
      </c>
      <c r="M13" s="7" t="s">
        <v>330</v>
      </c>
      <c r="N13" s="7" t="s">
        <v>331</v>
      </c>
      <c r="O13" s="7" t="s">
        <v>332</v>
      </c>
      <c r="P13" s="7" t="s">
        <v>333</v>
      </c>
      <c r="W13" s="2" t="s">
        <v>239</v>
      </c>
      <c r="X13" s="2">
        <f>MAX(X2:X12)</f>
        <v>400</v>
      </c>
    </row>
    <row r="14" spans="1:25" x14ac:dyDescent="0.3">
      <c r="D14" s="2" t="s">
        <v>220</v>
      </c>
      <c r="E14" s="2">
        <f>MIN(E2:E12)</f>
        <v>4910036</v>
      </c>
      <c r="F14" s="7"/>
      <c r="G14" s="7"/>
      <c r="H14" s="7"/>
      <c r="I14" s="7"/>
      <c r="J14" s="7"/>
      <c r="K14" s="7"/>
      <c r="L14" s="7"/>
      <c r="M14" s="7"/>
      <c r="N14" s="7"/>
      <c r="O14" s="7" t="s">
        <v>334</v>
      </c>
      <c r="P14" s="7" t="s">
        <v>335</v>
      </c>
      <c r="W14" s="2" t="s">
        <v>240</v>
      </c>
      <c r="X14" s="2">
        <f>MIN(X2:X12)</f>
        <v>203</v>
      </c>
    </row>
    <row r="15" spans="1:25" x14ac:dyDescent="0.3">
      <c r="D15" s="2" t="s">
        <v>221</v>
      </c>
      <c r="E15" s="2">
        <f>MAX(E2:E12)</f>
        <v>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0269-9E9F-4059-8AEB-474A76370414}">
  <dimension ref="A1:Y15"/>
  <sheetViews>
    <sheetView topLeftCell="E1" workbookViewId="0">
      <selection activeCell="P14" sqref="F13:P14"/>
    </sheetView>
  </sheetViews>
  <sheetFormatPr defaultRowHeight="14.4" x14ac:dyDescent="0.3"/>
  <cols>
    <col min="1" max="1" width="10.33203125" bestFit="1" customWidth="1"/>
    <col min="2" max="2" width="5" customWidth="1"/>
    <col min="3" max="3" width="15.77734375" customWidth="1"/>
    <col min="4" max="4" width="18.44140625" customWidth="1"/>
    <col min="5" max="5" width="10" bestFit="1" customWidth="1"/>
    <col min="6" max="6" width="17.5546875" customWidth="1"/>
    <col min="7" max="7" width="17.33203125" customWidth="1"/>
    <col min="8" max="8" width="16.109375" customWidth="1"/>
    <col min="9" max="9" width="17.44140625" customWidth="1"/>
    <col min="10" max="10" width="18.21875" customWidth="1"/>
    <col min="11" max="11" width="16.44140625" customWidth="1"/>
    <col min="12" max="12" width="17" customWidth="1"/>
    <col min="13" max="13" width="16.88671875" customWidth="1"/>
    <col min="14" max="14" width="16" customWidth="1"/>
    <col min="15" max="15" width="13.44140625" bestFit="1" customWidth="1"/>
    <col min="16" max="16" width="12.33203125" bestFit="1" customWidth="1"/>
    <col min="22" max="22" width="13.77734375" bestFit="1" customWidth="1"/>
    <col min="23" max="23" width="26.5546875" bestFit="1" customWidth="1"/>
    <col min="24" max="24" width="14.88671875" bestFit="1" customWidth="1"/>
    <col min="25" max="25" width="21" bestFit="1" customWidth="1"/>
  </cols>
  <sheetData>
    <row r="1" spans="1:25" ht="15.6" x14ac:dyDescent="0.3">
      <c r="A1" s="2" t="s">
        <v>25</v>
      </c>
      <c r="B1" s="3" t="s">
        <v>0</v>
      </c>
      <c r="C1" s="3" t="s">
        <v>1</v>
      </c>
      <c r="D1" s="3" t="s">
        <v>3</v>
      </c>
      <c r="E1" s="3" t="s">
        <v>6</v>
      </c>
      <c r="F1" s="3" t="s">
        <v>173</v>
      </c>
      <c r="G1" s="3" t="s">
        <v>174</v>
      </c>
      <c r="H1" s="3" t="s">
        <v>175</v>
      </c>
      <c r="I1" s="3" t="s">
        <v>176</v>
      </c>
      <c r="J1" s="3" t="s">
        <v>177</v>
      </c>
      <c r="K1" s="3" t="s">
        <v>178</v>
      </c>
      <c r="L1" s="3" t="s">
        <v>179</v>
      </c>
      <c r="M1" s="3" t="s">
        <v>180</v>
      </c>
      <c r="N1" s="3" t="s">
        <v>181</v>
      </c>
      <c r="O1" s="3" t="s">
        <v>7</v>
      </c>
      <c r="P1" s="3" t="s">
        <v>8</v>
      </c>
      <c r="Q1" s="3" t="s">
        <v>9</v>
      </c>
      <c r="R1" s="3" t="s">
        <v>10</v>
      </c>
      <c r="S1" s="3" t="s">
        <v>11</v>
      </c>
      <c r="T1" s="3" t="s">
        <v>24</v>
      </c>
      <c r="U1" s="3" t="s">
        <v>26</v>
      </c>
      <c r="V1" s="3" t="s">
        <v>12</v>
      </c>
      <c r="W1" s="3" t="s">
        <v>13</v>
      </c>
      <c r="X1" s="3" t="s">
        <v>226</v>
      </c>
      <c r="Y1" s="3" t="s">
        <v>224</v>
      </c>
    </row>
    <row r="2" spans="1:25" x14ac:dyDescent="0.3">
      <c r="A2" s="5">
        <v>46083</v>
      </c>
      <c r="B2">
        <v>1</v>
      </c>
      <c r="C2" t="s">
        <v>101</v>
      </c>
      <c r="D2" t="s">
        <v>4</v>
      </c>
      <c r="E2">
        <v>1900000</v>
      </c>
      <c r="F2">
        <v>45</v>
      </c>
      <c r="G2">
        <v>25</v>
      </c>
      <c r="H2">
        <v>98</v>
      </c>
      <c r="I2">
        <v>91</v>
      </c>
      <c r="J2">
        <v>21</v>
      </c>
      <c r="K2">
        <v>31</v>
      </c>
      <c r="L2">
        <v>62</v>
      </c>
      <c r="M2">
        <v>55</v>
      </c>
      <c r="N2">
        <v>30</v>
      </c>
      <c r="O2">
        <v>14</v>
      </c>
      <c r="P2">
        <v>5</v>
      </c>
      <c r="Q2">
        <v>33</v>
      </c>
      <c r="R2">
        <v>9</v>
      </c>
      <c r="S2">
        <v>48</v>
      </c>
      <c r="T2">
        <v>10</v>
      </c>
      <c r="U2">
        <v>5</v>
      </c>
      <c r="V2">
        <v>0</v>
      </c>
      <c r="W2">
        <v>1</v>
      </c>
      <c r="X2">
        <f>SUM(F2:N2)</f>
        <v>458</v>
      </c>
      <c r="Y2" s="2" t="s">
        <v>238</v>
      </c>
    </row>
    <row r="3" spans="1:25" x14ac:dyDescent="0.3">
      <c r="A3" s="5">
        <v>46089</v>
      </c>
      <c r="B3">
        <v>2</v>
      </c>
      <c r="C3" t="s">
        <v>109</v>
      </c>
      <c r="D3" t="s">
        <v>5</v>
      </c>
      <c r="E3">
        <v>45451253</v>
      </c>
      <c r="F3">
        <v>25</v>
      </c>
      <c r="G3">
        <v>25</v>
      </c>
      <c r="H3">
        <v>25</v>
      </c>
      <c r="I3">
        <v>25</v>
      </c>
      <c r="J3">
        <v>25</v>
      </c>
      <c r="K3">
        <v>25</v>
      </c>
      <c r="L3">
        <v>25</v>
      </c>
      <c r="M3">
        <v>25</v>
      </c>
      <c r="N3">
        <v>25</v>
      </c>
      <c r="O3">
        <v>21</v>
      </c>
      <c r="P3">
        <v>10</v>
      </c>
      <c r="Q3">
        <v>22</v>
      </c>
      <c r="R3">
        <v>8</v>
      </c>
      <c r="S3">
        <v>8</v>
      </c>
      <c r="T3">
        <v>8</v>
      </c>
      <c r="U3">
        <v>8</v>
      </c>
      <c r="V3">
        <v>8</v>
      </c>
      <c r="W3">
        <v>8</v>
      </c>
      <c r="X3">
        <f t="shared" ref="X3:X12" si="0">SUM(F3:N3)</f>
        <v>225</v>
      </c>
    </row>
    <row r="4" spans="1:25" x14ac:dyDescent="0.3">
      <c r="A4" s="5">
        <v>46093</v>
      </c>
      <c r="B4">
        <v>3</v>
      </c>
      <c r="C4" t="s">
        <v>102</v>
      </c>
      <c r="D4" t="s">
        <v>122</v>
      </c>
      <c r="E4">
        <v>19064566</v>
      </c>
      <c r="F4">
        <v>10</v>
      </c>
      <c r="G4">
        <v>10</v>
      </c>
      <c r="H4">
        <v>12</v>
      </c>
      <c r="I4">
        <v>39</v>
      </c>
      <c r="J4">
        <v>32</v>
      </c>
      <c r="K4">
        <v>24</v>
      </c>
      <c r="L4">
        <v>4</v>
      </c>
      <c r="M4">
        <v>1</v>
      </c>
      <c r="N4">
        <v>32</v>
      </c>
      <c r="O4">
        <v>32</v>
      </c>
      <c r="P4">
        <v>5</v>
      </c>
      <c r="Q4">
        <v>10</v>
      </c>
      <c r="R4">
        <v>5</v>
      </c>
      <c r="S4">
        <v>35</v>
      </c>
      <c r="T4">
        <v>6</v>
      </c>
      <c r="U4">
        <v>2</v>
      </c>
      <c r="V4">
        <v>5</v>
      </c>
      <c r="W4">
        <v>3</v>
      </c>
      <c r="X4">
        <f t="shared" si="0"/>
        <v>164</v>
      </c>
    </row>
    <row r="5" spans="1:25" x14ac:dyDescent="0.3">
      <c r="A5" s="5">
        <v>46119</v>
      </c>
      <c r="B5">
        <v>8</v>
      </c>
      <c r="C5" t="s">
        <v>107</v>
      </c>
      <c r="D5" t="s">
        <v>4</v>
      </c>
      <c r="E5">
        <v>3698851</v>
      </c>
      <c r="F5">
        <v>42</v>
      </c>
      <c r="G5">
        <v>60</v>
      </c>
      <c r="H5">
        <v>64</v>
      </c>
      <c r="I5">
        <v>63</v>
      </c>
      <c r="J5">
        <v>63</v>
      </c>
      <c r="K5">
        <v>22</v>
      </c>
      <c r="L5">
        <v>63</v>
      </c>
      <c r="M5">
        <v>77</v>
      </c>
      <c r="N5">
        <v>41</v>
      </c>
      <c r="O5">
        <v>25</v>
      </c>
      <c r="P5">
        <v>3</v>
      </c>
      <c r="Q5">
        <v>17</v>
      </c>
      <c r="R5">
        <v>10</v>
      </c>
      <c r="S5">
        <v>36</v>
      </c>
      <c r="T5">
        <v>12</v>
      </c>
      <c r="U5">
        <v>3</v>
      </c>
      <c r="V5">
        <v>1</v>
      </c>
      <c r="W5">
        <v>0</v>
      </c>
      <c r="X5">
        <f t="shared" si="0"/>
        <v>495</v>
      </c>
    </row>
    <row r="6" spans="1:25" x14ac:dyDescent="0.3">
      <c r="A6" s="5">
        <v>46121</v>
      </c>
      <c r="B6">
        <v>9</v>
      </c>
      <c r="C6" t="s">
        <v>103</v>
      </c>
      <c r="D6" t="s">
        <v>5</v>
      </c>
      <c r="E6">
        <v>9991000</v>
      </c>
      <c r="F6">
        <v>42</v>
      </c>
      <c r="G6">
        <v>68</v>
      </c>
      <c r="H6">
        <v>64</v>
      </c>
      <c r="I6">
        <v>74</v>
      </c>
      <c r="J6">
        <v>25</v>
      </c>
      <c r="K6">
        <v>22</v>
      </c>
      <c r="L6">
        <v>28</v>
      </c>
      <c r="M6">
        <v>77</v>
      </c>
      <c r="N6">
        <v>32</v>
      </c>
      <c r="O6">
        <v>6</v>
      </c>
      <c r="P6">
        <v>6</v>
      </c>
      <c r="Q6">
        <v>6</v>
      </c>
      <c r="R6">
        <v>6</v>
      </c>
      <c r="S6">
        <v>6</v>
      </c>
      <c r="T6">
        <v>6</v>
      </c>
      <c r="U6">
        <v>6</v>
      </c>
      <c r="V6">
        <v>6</v>
      </c>
      <c r="W6">
        <v>6</v>
      </c>
      <c r="X6">
        <f t="shared" si="0"/>
        <v>432</v>
      </c>
    </row>
    <row r="7" spans="1:25" x14ac:dyDescent="0.3">
      <c r="A7" s="5">
        <v>46127</v>
      </c>
      <c r="B7">
        <v>10</v>
      </c>
      <c r="C7" t="s">
        <v>108</v>
      </c>
      <c r="D7" t="s">
        <v>122</v>
      </c>
      <c r="E7">
        <v>6000000</v>
      </c>
      <c r="F7">
        <v>42</v>
      </c>
      <c r="G7">
        <v>76</v>
      </c>
      <c r="H7">
        <v>64</v>
      </c>
      <c r="I7">
        <v>41</v>
      </c>
      <c r="J7">
        <v>25</v>
      </c>
      <c r="K7">
        <v>22</v>
      </c>
      <c r="L7">
        <v>26</v>
      </c>
      <c r="M7">
        <v>77</v>
      </c>
      <c r="N7">
        <v>33</v>
      </c>
      <c r="O7">
        <v>8</v>
      </c>
      <c r="P7">
        <v>2</v>
      </c>
      <c r="Q7">
        <v>13</v>
      </c>
      <c r="R7">
        <v>3</v>
      </c>
      <c r="S7">
        <v>52</v>
      </c>
      <c r="T7">
        <v>17</v>
      </c>
      <c r="U7">
        <v>0</v>
      </c>
      <c r="V7">
        <v>7</v>
      </c>
      <c r="W7">
        <v>1</v>
      </c>
      <c r="X7">
        <f t="shared" si="0"/>
        <v>406</v>
      </c>
    </row>
    <row r="8" spans="1:25" x14ac:dyDescent="0.3">
      <c r="A8" s="5">
        <v>46137</v>
      </c>
      <c r="B8">
        <v>11</v>
      </c>
      <c r="C8" t="s">
        <v>104</v>
      </c>
      <c r="D8" t="s">
        <v>5</v>
      </c>
      <c r="E8">
        <v>5999940</v>
      </c>
      <c r="F8">
        <v>42</v>
      </c>
      <c r="G8">
        <v>84</v>
      </c>
      <c r="H8">
        <v>64</v>
      </c>
      <c r="I8">
        <v>41</v>
      </c>
      <c r="J8">
        <v>25</v>
      </c>
      <c r="K8">
        <v>22</v>
      </c>
      <c r="L8">
        <v>2</v>
      </c>
      <c r="M8">
        <v>77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2</v>
      </c>
      <c r="X8">
        <f t="shared" si="0"/>
        <v>359</v>
      </c>
    </row>
    <row r="9" spans="1:25" x14ac:dyDescent="0.3">
      <c r="A9" s="5">
        <v>46144</v>
      </c>
      <c r="B9">
        <v>12</v>
      </c>
      <c r="C9" t="s">
        <v>111</v>
      </c>
      <c r="D9" t="s">
        <v>5</v>
      </c>
      <c r="E9">
        <v>2626119</v>
      </c>
      <c r="F9">
        <v>42</v>
      </c>
      <c r="G9">
        <v>92</v>
      </c>
      <c r="H9">
        <v>64</v>
      </c>
      <c r="I9">
        <v>41</v>
      </c>
      <c r="J9">
        <v>25</v>
      </c>
      <c r="K9">
        <v>22</v>
      </c>
      <c r="L9">
        <v>1</v>
      </c>
      <c r="M9">
        <v>77</v>
      </c>
      <c r="N9">
        <v>2</v>
      </c>
      <c r="O9">
        <v>3</v>
      </c>
      <c r="P9">
        <v>1</v>
      </c>
      <c r="Q9">
        <v>10</v>
      </c>
      <c r="R9">
        <v>8</v>
      </c>
      <c r="S9">
        <v>36</v>
      </c>
      <c r="T9">
        <v>20</v>
      </c>
      <c r="U9">
        <v>1</v>
      </c>
      <c r="V9">
        <v>5</v>
      </c>
      <c r="W9">
        <v>0</v>
      </c>
      <c r="X9">
        <f t="shared" si="0"/>
        <v>366</v>
      </c>
    </row>
    <row r="10" spans="1:25" x14ac:dyDescent="0.3">
      <c r="A10" s="5">
        <v>46153</v>
      </c>
      <c r="B10">
        <v>13</v>
      </c>
      <c r="C10" t="s">
        <v>105</v>
      </c>
      <c r="D10" t="s">
        <v>122</v>
      </c>
      <c r="E10">
        <v>414141</v>
      </c>
      <c r="F10">
        <v>21</v>
      </c>
      <c r="G10">
        <v>100</v>
      </c>
      <c r="H10">
        <v>64</v>
      </c>
      <c r="I10">
        <v>41</v>
      </c>
      <c r="J10">
        <v>20</v>
      </c>
      <c r="K10">
        <v>0</v>
      </c>
      <c r="L10">
        <v>5</v>
      </c>
      <c r="M10">
        <v>77</v>
      </c>
      <c r="N10">
        <v>4</v>
      </c>
      <c r="O10">
        <v>7</v>
      </c>
      <c r="P10">
        <v>6</v>
      </c>
      <c r="Q10">
        <v>6</v>
      </c>
      <c r="R10">
        <v>9</v>
      </c>
      <c r="S10">
        <v>15</v>
      </c>
      <c r="T10">
        <v>25</v>
      </c>
      <c r="U10">
        <v>1</v>
      </c>
      <c r="V10">
        <v>3</v>
      </c>
      <c r="W10">
        <v>0</v>
      </c>
      <c r="X10">
        <f t="shared" si="0"/>
        <v>332</v>
      </c>
    </row>
    <row r="11" spans="1:25" x14ac:dyDescent="0.3">
      <c r="A11" s="5">
        <v>46158</v>
      </c>
      <c r="B11">
        <v>14</v>
      </c>
      <c r="C11" t="s">
        <v>110</v>
      </c>
      <c r="D11" t="s">
        <v>124</v>
      </c>
      <c r="E11">
        <v>12262865</v>
      </c>
      <c r="F11">
        <v>27</v>
      </c>
      <c r="G11">
        <v>64</v>
      </c>
      <c r="H11">
        <v>64</v>
      </c>
      <c r="I11">
        <v>41</v>
      </c>
      <c r="J11">
        <v>10</v>
      </c>
      <c r="K11">
        <v>0</v>
      </c>
      <c r="L11">
        <v>7</v>
      </c>
      <c r="M11">
        <v>22</v>
      </c>
      <c r="N11">
        <v>6</v>
      </c>
      <c r="O11">
        <v>2</v>
      </c>
      <c r="P11">
        <v>5</v>
      </c>
      <c r="Q11">
        <v>5</v>
      </c>
      <c r="R11">
        <v>0</v>
      </c>
      <c r="S11">
        <v>0</v>
      </c>
      <c r="T11">
        <v>24</v>
      </c>
      <c r="U11">
        <v>6</v>
      </c>
      <c r="V11">
        <v>0</v>
      </c>
      <c r="W11">
        <v>1</v>
      </c>
      <c r="X11">
        <f t="shared" si="0"/>
        <v>241</v>
      </c>
    </row>
    <row r="12" spans="1:25" x14ac:dyDescent="0.3">
      <c r="A12" s="5">
        <v>46161</v>
      </c>
      <c r="B12">
        <v>15</v>
      </c>
      <c r="C12" t="s">
        <v>106</v>
      </c>
      <c r="D12" t="s">
        <v>122</v>
      </c>
      <c r="E12">
        <v>10202525</v>
      </c>
      <c r="F12">
        <v>67</v>
      </c>
      <c r="G12">
        <v>25</v>
      </c>
      <c r="H12">
        <v>64</v>
      </c>
      <c r="I12">
        <v>41</v>
      </c>
      <c r="J12">
        <v>0</v>
      </c>
      <c r="K12">
        <v>0</v>
      </c>
      <c r="L12">
        <v>17</v>
      </c>
      <c r="M12">
        <v>10</v>
      </c>
      <c r="N12">
        <v>7</v>
      </c>
      <c r="O12">
        <v>3</v>
      </c>
      <c r="P12">
        <v>3</v>
      </c>
      <c r="Q12">
        <v>3</v>
      </c>
      <c r="R12">
        <v>3</v>
      </c>
      <c r="S12">
        <v>3</v>
      </c>
      <c r="T12">
        <v>3</v>
      </c>
      <c r="U12">
        <v>3</v>
      </c>
      <c r="V12">
        <v>3</v>
      </c>
      <c r="W12">
        <v>3</v>
      </c>
      <c r="X12">
        <f t="shared" si="0"/>
        <v>231</v>
      </c>
    </row>
    <row r="13" spans="1:25" x14ac:dyDescent="0.3">
      <c r="D13" s="2" t="s">
        <v>219</v>
      </c>
      <c r="E13" s="2">
        <f>SUM(E2:E12)</f>
        <v>117611260</v>
      </c>
      <c r="F13" s="7" t="s">
        <v>336</v>
      </c>
      <c r="G13" s="7" t="s">
        <v>337</v>
      </c>
      <c r="H13" s="7" t="s">
        <v>338</v>
      </c>
      <c r="I13" s="7" t="s">
        <v>339</v>
      </c>
      <c r="J13" s="7" t="s">
        <v>340</v>
      </c>
      <c r="K13" s="7" t="s">
        <v>327</v>
      </c>
      <c r="L13" s="7" t="s">
        <v>341</v>
      </c>
      <c r="M13" s="7" t="s">
        <v>342</v>
      </c>
      <c r="N13" s="7" t="s">
        <v>343</v>
      </c>
      <c r="O13" s="7" t="s">
        <v>344</v>
      </c>
      <c r="P13" s="7" t="s">
        <v>345</v>
      </c>
      <c r="W13" s="2" t="s">
        <v>236</v>
      </c>
      <c r="X13" s="2">
        <f>MAX(X2:X12)</f>
        <v>495</v>
      </c>
    </row>
    <row r="14" spans="1:25" x14ac:dyDescent="0.3">
      <c r="D14" s="2" t="s">
        <v>220</v>
      </c>
      <c r="E14" s="2">
        <f>MIN(E2:E12)</f>
        <v>414141</v>
      </c>
      <c r="F14" s="8"/>
      <c r="G14" s="8"/>
      <c r="H14" s="8"/>
      <c r="I14" s="8"/>
      <c r="J14" s="8"/>
      <c r="K14" s="8"/>
      <c r="L14" s="8"/>
      <c r="M14" s="8"/>
      <c r="N14" s="8"/>
      <c r="O14" s="7" t="s">
        <v>346</v>
      </c>
      <c r="P14" s="7" t="s">
        <v>347</v>
      </c>
      <c r="W14" s="2" t="s">
        <v>237</v>
      </c>
      <c r="X14" s="2">
        <f>MIN(X2:X12)</f>
        <v>164</v>
      </c>
    </row>
    <row r="15" spans="1:25" x14ac:dyDescent="0.3">
      <c r="D15" s="2" t="s">
        <v>221</v>
      </c>
      <c r="E15" s="2">
        <f>MAX(E2:E12)</f>
        <v>45451253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2C3B8-F747-4C24-8054-DDFF0282DA68}">
  <dimension ref="A1:Y15"/>
  <sheetViews>
    <sheetView workbookViewId="0">
      <selection activeCell="N21" sqref="N21"/>
    </sheetView>
  </sheetViews>
  <sheetFormatPr defaultRowHeight="14.4" x14ac:dyDescent="0.3"/>
  <cols>
    <col min="1" max="1" width="10.33203125" bestFit="1" customWidth="1"/>
    <col min="2" max="2" width="5.109375" customWidth="1"/>
    <col min="3" max="3" width="17.33203125" customWidth="1"/>
    <col min="4" max="4" width="19.44140625" customWidth="1"/>
    <col min="5" max="5" width="10" bestFit="1" customWidth="1"/>
    <col min="6" max="6" width="10.5546875" customWidth="1"/>
    <col min="7" max="7" width="12.6640625" customWidth="1"/>
    <col min="15" max="15" width="14.109375" bestFit="1" customWidth="1"/>
    <col min="16" max="16" width="20.33203125" bestFit="1" customWidth="1"/>
    <col min="20" max="20" width="14" bestFit="1" customWidth="1"/>
    <col min="21" max="21" width="13.88671875" bestFit="1" customWidth="1"/>
    <col min="22" max="22" width="13.77734375" bestFit="1" customWidth="1"/>
    <col min="23" max="23" width="30.6640625" bestFit="1" customWidth="1"/>
    <col min="24" max="24" width="14.88671875" bestFit="1" customWidth="1"/>
    <col min="25" max="25" width="21" bestFit="1" customWidth="1"/>
  </cols>
  <sheetData>
    <row r="1" spans="1:25" ht="15.6" x14ac:dyDescent="0.3">
      <c r="A1" s="2" t="s">
        <v>25</v>
      </c>
      <c r="B1" s="3" t="s">
        <v>0</v>
      </c>
      <c r="C1" s="3" t="s">
        <v>1</v>
      </c>
      <c r="D1" s="3" t="s">
        <v>3</v>
      </c>
      <c r="E1" s="3" t="s">
        <v>6</v>
      </c>
      <c r="F1" s="3" t="s">
        <v>164</v>
      </c>
      <c r="G1" s="3" t="s">
        <v>165</v>
      </c>
      <c r="H1" s="3" t="s">
        <v>166</v>
      </c>
      <c r="I1" s="3" t="s">
        <v>167</v>
      </c>
      <c r="J1" s="3" t="s">
        <v>168</v>
      </c>
      <c r="K1" s="3" t="s">
        <v>169</v>
      </c>
      <c r="L1" s="3" t="s">
        <v>170</v>
      </c>
      <c r="M1" s="3" t="s">
        <v>171</v>
      </c>
      <c r="N1" s="3" t="s">
        <v>172</v>
      </c>
      <c r="O1" s="3" t="s">
        <v>7</v>
      </c>
      <c r="P1" s="3" t="s">
        <v>8</v>
      </c>
      <c r="Q1" s="3" t="s">
        <v>9</v>
      </c>
      <c r="R1" s="3" t="s">
        <v>10</v>
      </c>
      <c r="S1" s="3" t="s">
        <v>11</v>
      </c>
      <c r="T1" s="3" t="s">
        <v>24</v>
      </c>
      <c r="U1" s="3" t="s">
        <v>26</v>
      </c>
      <c r="V1" s="3" t="s">
        <v>12</v>
      </c>
      <c r="W1" s="3" t="s">
        <v>13</v>
      </c>
      <c r="X1" s="3" t="s">
        <v>226</v>
      </c>
      <c r="Y1" s="3" t="s">
        <v>224</v>
      </c>
    </row>
    <row r="2" spans="1:25" x14ac:dyDescent="0.3">
      <c r="A2" s="5">
        <v>46086</v>
      </c>
      <c r="B2">
        <v>1</v>
      </c>
      <c r="C2" t="s">
        <v>90</v>
      </c>
      <c r="D2" t="s">
        <v>4</v>
      </c>
      <c r="E2">
        <v>11228866</v>
      </c>
      <c r="F2">
        <v>45</v>
      </c>
      <c r="G2">
        <v>25</v>
      </c>
      <c r="H2">
        <v>98</v>
      </c>
      <c r="I2">
        <v>91</v>
      </c>
      <c r="J2">
        <v>21</v>
      </c>
      <c r="K2">
        <v>31</v>
      </c>
      <c r="L2">
        <v>62</v>
      </c>
      <c r="M2">
        <v>55</v>
      </c>
      <c r="N2">
        <v>30</v>
      </c>
      <c r="O2">
        <v>14</v>
      </c>
      <c r="P2">
        <v>5</v>
      </c>
      <c r="Q2">
        <v>33</v>
      </c>
      <c r="R2">
        <v>9</v>
      </c>
      <c r="S2">
        <v>48</v>
      </c>
      <c r="T2">
        <v>10</v>
      </c>
      <c r="U2">
        <v>5</v>
      </c>
      <c r="V2">
        <v>0</v>
      </c>
      <c r="W2">
        <v>1</v>
      </c>
      <c r="X2">
        <f>SUM(F2:N2)</f>
        <v>458</v>
      </c>
      <c r="Y2" s="2" t="s">
        <v>235</v>
      </c>
    </row>
    <row r="3" spans="1:25" x14ac:dyDescent="0.3">
      <c r="A3" s="5">
        <v>46089</v>
      </c>
      <c r="B3">
        <v>2</v>
      </c>
      <c r="C3" t="s">
        <v>100</v>
      </c>
      <c r="D3" t="s">
        <v>5</v>
      </c>
      <c r="E3">
        <v>16005599</v>
      </c>
      <c r="F3">
        <v>25</v>
      </c>
      <c r="G3">
        <v>22</v>
      </c>
      <c r="H3">
        <v>22</v>
      </c>
      <c r="I3">
        <v>22</v>
      </c>
      <c r="J3">
        <v>22</v>
      </c>
      <c r="K3">
        <v>22</v>
      </c>
      <c r="L3">
        <v>3</v>
      </c>
      <c r="M3">
        <v>23</v>
      </c>
      <c r="N3">
        <v>21</v>
      </c>
      <c r="O3">
        <v>21</v>
      </c>
      <c r="P3">
        <v>6</v>
      </c>
      <c r="Q3">
        <v>22</v>
      </c>
      <c r="R3">
        <v>8</v>
      </c>
      <c r="S3">
        <v>54</v>
      </c>
      <c r="T3">
        <v>2</v>
      </c>
      <c r="U3">
        <v>3</v>
      </c>
      <c r="V3">
        <v>0</v>
      </c>
      <c r="W3">
        <v>0</v>
      </c>
      <c r="X3">
        <f t="shared" ref="X3:X12" si="0">SUM(F3:N3)</f>
        <v>182</v>
      </c>
    </row>
    <row r="4" spans="1:25" x14ac:dyDescent="0.3">
      <c r="A4" s="5">
        <v>46092</v>
      </c>
      <c r="B4">
        <v>3</v>
      </c>
      <c r="C4" t="s">
        <v>91</v>
      </c>
      <c r="D4" t="s">
        <v>4</v>
      </c>
      <c r="E4">
        <v>12500000</v>
      </c>
      <c r="F4">
        <v>10</v>
      </c>
      <c r="G4">
        <v>10</v>
      </c>
      <c r="H4">
        <v>12</v>
      </c>
      <c r="I4">
        <v>39</v>
      </c>
      <c r="J4">
        <v>32</v>
      </c>
      <c r="K4">
        <v>32</v>
      </c>
      <c r="L4">
        <v>4</v>
      </c>
      <c r="M4">
        <v>1</v>
      </c>
      <c r="N4">
        <v>32</v>
      </c>
      <c r="O4">
        <v>32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3</v>
      </c>
      <c r="X4">
        <f t="shared" si="0"/>
        <v>172</v>
      </c>
    </row>
    <row r="5" spans="1:25" x14ac:dyDescent="0.3">
      <c r="A5" s="5">
        <v>46101</v>
      </c>
      <c r="B5">
        <v>4</v>
      </c>
      <c r="C5" t="s">
        <v>98</v>
      </c>
      <c r="D5" t="s">
        <v>5</v>
      </c>
      <c r="E5">
        <v>16893110</v>
      </c>
      <c r="F5">
        <v>35</v>
      </c>
      <c r="G5">
        <v>84</v>
      </c>
      <c r="H5">
        <v>12</v>
      </c>
      <c r="I5">
        <v>67</v>
      </c>
      <c r="J5">
        <v>32</v>
      </c>
      <c r="K5">
        <v>32</v>
      </c>
      <c r="L5">
        <v>88</v>
      </c>
      <c r="M5">
        <v>5</v>
      </c>
      <c r="N5">
        <v>22</v>
      </c>
      <c r="O5">
        <v>22</v>
      </c>
      <c r="P5">
        <v>8</v>
      </c>
      <c r="Q5">
        <v>6</v>
      </c>
      <c r="R5">
        <v>4</v>
      </c>
      <c r="S5">
        <v>26</v>
      </c>
      <c r="T5">
        <v>10</v>
      </c>
      <c r="U5">
        <v>4</v>
      </c>
      <c r="V5">
        <v>4</v>
      </c>
      <c r="W5">
        <v>3</v>
      </c>
      <c r="X5">
        <f t="shared" si="0"/>
        <v>377</v>
      </c>
    </row>
    <row r="6" spans="1:25" x14ac:dyDescent="0.3">
      <c r="A6" s="5">
        <v>46108</v>
      </c>
      <c r="B6">
        <v>5</v>
      </c>
      <c r="C6" t="s">
        <v>92</v>
      </c>
      <c r="D6" t="s">
        <v>5</v>
      </c>
      <c r="E6">
        <v>1800000</v>
      </c>
      <c r="F6">
        <v>35</v>
      </c>
      <c r="G6">
        <v>12</v>
      </c>
      <c r="H6">
        <v>12</v>
      </c>
      <c r="I6">
        <v>12</v>
      </c>
      <c r="J6">
        <v>32</v>
      </c>
      <c r="K6">
        <v>32</v>
      </c>
      <c r="L6">
        <v>12</v>
      </c>
      <c r="M6">
        <v>12</v>
      </c>
      <c r="N6">
        <v>12</v>
      </c>
      <c r="O6">
        <v>10</v>
      </c>
      <c r="P6">
        <v>9</v>
      </c>
      <c r="Q6">
        <v>11</v>
      </c>
      <c r="R6">
        <v>2</v>
      </c>
      <c r="S6">
        <v>15</v>
      </c>
      <c r="T6">
        <v>21</v>
      </c>
      <c r="U6">
        <v>0</v>
      </c>
      <c r="V6">
        <v>10</v>
      </c>
      <c r="W6">
        <v>3</v>
      </c>
      <c r="X6">
        <f t="shared" si="0"/>
        <v>171</v>
      </c>
    </row>
    <row r="7" spans="1:25" x14ac:dyDescent="0.3">
      <c r="A7" s="5">
        <v>46110</v>
      </c>
      <c r="B7">
        <v>6</v>
      </c>
      <c r="C7" t="s">
        <v>99</v>
      </c>
      <c r="D7" t="s">
        <v>5</v>
      </c>
      <c r="E7">
        <v>8000000</v>
      </c>
      <c r="F7">
        <v>35</v>
      </c>
      <c r="G7">
        <v>44</v>
      </c>
      <c r="H7">
        <v>12</v>
      </c>
      <c r="I7">
        <v>52</v>
      </c>
      <c r="J7">
        <v>32</v>
      </c>
      <c r="K7">
        <v>32</v>
      </c>
      <c r="L7">
        <v>1</v>
      </c>
      <c r="M7">
        <v>1</v>
      </c>
      <c r="N7">
        <v>1</v>
      </c>
      <c r="O7">
        <v>1</v>
      </c>
      <c r="P7">
        <v>1</v>
      </c>
      <c r="Q7">
        <v>19</v>
      </c>
      <c r="R7">
        <v>3</v>
      </c>
      <c r="S7">
        <v>65</v>
      </c>
      <c r="T7">
        <v>8</v>
      </c>
      <c r="U7">
        <v>0</v>
      </c>
      <c r="V7">
        <v>0</v>
      </c>
      <c r="W7">
        <v>3</v>
      </c>
      <c r="X7">
        <f t="shared" si="0"/>
        <v>210</v>
      </c>
    </row>
    <row r="8" spans="1:25" x14ac:dyDescent="0.3">
      <c r="A8" s="5">
        <v>46112</v>
      </c>
      <c r="B8">
        <v>7</v>
      </c>
      <c r="C8" t="s">
        <v>93</v>
      </c>
      <c r="D8" t="s">
        <v>124</v>
      </c>
      <c r="E8">
        <v>10000000</v>
      </c>
      <c r="F8">
        <v>35</v>
      </c>
      <c r="G8">
        <v>42</v>
      </c>
      <c r="H8">
        <v>12</v>
      </c>
      <c r="I8">
        <v>42</v>
      </c>
      <c r="J8">
        <v>32</v>
      </c>
      <c r="K8">
        <v>32</v>
      </c>
      <c r="L8">
        <v>42</v>
      </c>
      <c r="M8">
        <v>42</v>
      </c>
      <c r="N8">
        <v>1</v>
      </c>
      <c r="O8">
        <v>1</v>
      </c>
      <c r="P8">
        <v>1</v>
      </c>
      <c r="Q8">
        <v>15</v>
      </c>
      <c r="R8">
        <v>15</v>
      </c>
      <c r="S8">
        <v>15</v>
      </c>
      <c r="T8">
        <v>15</v>
      </c>
      <c r="U8">
        <v>15</v>
      </c>
      <c r="V8">
        <v>0</v>
      </c>
      <c r="W8">
        <v>3</v>
      </c>
      <c r="X8">
        <f t="shared" si="0"/>
        <v>280</v>
      </c>
    </row>
    <row r="9" spans="1:25" x14ac:dyDescent="0.3">
      <c r="A9" s="5">
        <v>46123</v>
      </c>
      <c r="B9">
        <v>8</v>
      </c>
      <c r="C9" t="s">
        <v>97</v>
      </c>
      <c r="D9" t="s">
        <v>5</v>
      </c>
      <c r="E9">
        <v>5852369</v>
      </c>
      <c r="F9">
        <v>35</v>
      </c>
      <c r="G9">
        <v>23</v>
      </c>
      <c r="H9">
        <v>12</v>
      </c>
      <c r="I9">
        <v>63</v>
      </c>
      <c r="J9">
        <v>32</v>
      </c>
      <c r="K9">
        <v>32</v>
      </c>
      <c r="L9">
        <v>31</v>
      </c>
      <c r="M9">
        <v>32</v>
      </c>
      <c r="N9">
        <v>1</v>
      </c>
      <c r="O9">
        <v>1</v>
      </c>
      <c r="P9">
        <v>1</v>
      </c>
      <c r="Q9">
        <v>17</v>
      </c>
      <c r="R9">
        <v>10</v>
      </c>
      <c r="S9">
        <v>36</v>
      </c>
      <c r="T9">
        <v>12</v>
      </c>
      <c r="U9">
        <v>3</v>
      </c>
      <c r="V9">
        <v>6</v>
      </c>
      <c r="W9">
        <v>3</v>
      </c>
      <c r="X9">
        <f t="shared" si="0"/>
        <v>261</v>
      </c>
    </row>
    <row r="10" spans="1:25" x14ac:dyDescent="0.3">
      <c r="A10" s="5">
        <v>46161</v>
      </c>
      <c r="B10">
        <v>13</v>
      </c>
      <c r="C10" t="s">
        <v>94</v>
      </c>
      <c r="D10" t="s">
        <v>122</v>
      </c>
      <c r="E10">
        <v>30000000</v>
      </c>
      <c r="F10">
        <v>21</v>
      </c>
      <c r="G10">
        <v>68</v>
      </c>
      <c r="H10">
        <v>22</v>
      </c>
      <c r="I10">
        <v>22</v>
      </c>
      <c r="J10">
        <v>22</v>
      </c>
      <c r="K10">
        <v>22</v>
      </c>
      <c r="L10">
        <v>22</v>
      </c>
      <c r="M10">
        <v>22</v>
      </c>
      <c r="N10">
        <v>4</v>
      </c>
      <c r="O10">
        <v>7</v>
      </c>
      <c r="P10">
        <v>6</v>
      </c>
      <c r="Q10">
        <v>12</v>
      </c>
      <c r="R10">
        <v>3</v>
      </c>
      <c r="S10">
        <v>6</v>
      </c>
      <c r="T10">
        <v>17</v>
      </c>
      <c r="U10">
        <v>6</v>
      </c>
      <c r="V10">
        <v>3</v>
      </c>
      <c r="W10">
        <v>3</v>
      </c>
      <c r="X10">
        <f t="shared" si="0"/>
        <v>225</v>
      </c>
    </row>
    <row r="11" spans="1:25" x14ac:dyDescent="0.3">
      <c r="A11" s="5">
        <v>46168</v>
      </c>
      <c r="B11">
        <v>14</v>
      </c>
      <c r="C11" t="s">
        <v>96</v>
      </c>
      <c r="D11" t="s">
        <v>4</v>
      </c>
      <c r="E11">
        <v>26233333</v>
      </c>
      <c r="F11">
        <v>27</v>
      </c>
      <c r="G11">
        <v>27</v>
      </c>
      <c r="H11">
        <v>27</v>
      </c>
      <c r="I11">
        <v>27</v>
      </c>
      <c r="J11">
        <v>27</v>
      </c>
      <c r="K11">
        <v>27</v>
      </c>
      <c r="L11">
        <v>27</v>
      </c>
      <c r="M11">
        <v>27</v>
      </c>
      <c r="N11">
        <v>6</v>
      </c>
      <c r="O11">
        <v>2</v>
      </c>
      <c r="P11">
        <v>5</v>
      </c>
      <c r="Q11">
        <v>12</v>
      </c>
      <c r="R11">
        <v>3</v>
      </c>
      <c r="S11">
        <v>0</v>
      </c>
      <c r="T11">
        <v>17</v>
      </c>
      <c r="U11">
        <v>6</v>
      </c>
      <c r="V11">
        <v>0</v>
      </c>
      <c r="W11">
        <v>3</v>
      </c>
      <c r="X11">
        <f t="shared" si="0"/>
        <v>222</v>
      </c>
    </row>
    <row r="12" spans="1:25" x14ac:dyDescent="0.3">
      <c r="A12" s="5">
        <v>46184</v>
      </c>
      <c r="B12">
        <v>15</v>
      </c>
      <c r="C12" t="s">
        <v>95</v>
      </c>
      <c r="D12" t="s">
        <v>124</v>
      </c>
      <c r="E12">
        <v>5555789</v>
      </c>
      <c r="F12">
        <v>67</v>
      </c>
      <c r="G12">
        <v>25</v>
      </c>
      <c r="H12">
        <v>10</v>
      </c>
      <c r="I12">
        <v>98</v>
      </c>
      <c r="J12">
        <v>0</v>
      </c>
      <c r="K12">
        <v>0</v>
      </c>
      <c r="L12">
        <v>17</v>
      </c>
      <c r="M12">
        <v>10</v>
      </c>
      <c r="N12">
        <v>7</v>
      </c>
      <c r="O12">
        <v>3</v>
      </c>
      <c r="P12">
        <v>1</v>
      </c>
      <c r="Q12">
        <v>12</v>
      </c>
      <c r="R12">
        <v>3</v>
      </c>
      <c r="S12">
        <v>2</v>
      </c>
      <c r="T12">
        <v>17</v>
      </c>
      <c r="U12">
        <v>7</v>
      </c>
      <c r="V12">
        <v>9</v>
      </c>
      <c r="W12">
        <v>3</v>
      </c>
      <c r="X12">
        <f t="shared" si="0"/>
        <v>234</v>
      </c>
    </row>
    <row r="13" spans="1:25" x14ac:dyDescent="0.3">
      <c r="D13" s="2" t="s">
        <v>219</v>
      </c>
      <c r="E13" s="2">
        <f>SUM(E2:E12)</f>
        <v>144069066</v>
      </c>
      <c r="F13" s="2" t="s">
        <v>348</v>
      </c>
      <c r="G13" s="2" t="s">
        <v>314</v>
      </c>
      <c r="H13" s="2" t="s">
        <v>349</v>
      </c>
      <c r="I13" s="2" t="s">
        <v>350</v>
      </c>
      <c r="J13" s="2" t="s">
        <v>351</v>
      </c>
      <c r="K13" s="2" t="s">
        <v>352</v>
      </c>
      <c r="L13" s="2" t="s">
        <v>353</v>
      </c>
      <c r="M13" s="2" t="s">
        <v>354</v>
      </c>
      <c r="N13" s="2" t="s">
        <v>302</v>
      </c>
      <c r="O13" s="2" t="s">
        <v>355</v>
      </c>
      <c r="P13" s="2" t="s">
        <v>356</v>
      </c>
      <c r="W13" s="2" t="s">
        <v>233</v>
      </c>
      <c r="X13" s="2">
        <f>MAX(X2:X12)</f>
        <v>458</v>
      </c>
    </row>
    <row r="14" spans="1:25" x14ac:dyDescent="0.3">
      <c r="D14" s="2" t="s">
        <v>220</v>
      </c>
      <c r="E14" s="2">
        <f>MIN(E2:E12)</f>
        <v>1800000</v>
      </c>
      <c r="O14" s="2" t="s">
        <v>357</v>
      </c>
      <c r="P14" s="2" t="s">
        <v>358</v>
      </c>
      <c r="W14" s="2" t="s">
        <v>234</v>
      </c>
      <c r="X14" s="2">
        <f>MIN(X2:X12)</f>
        <v>171</v>
      </c>
    </row>
    <row r="15" spans="1:25" x14ac:dyDescent="0.3">
      <c r="D15" s="2" t="s">
        <v>221</v>
      </c>
      <c r="E15" s="2">
        <f>MAX(E2:E12)</f>
        <v>30000000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B9445-F4CD-4DCE-92E6-51CAEFC84743}">
  <dimension ref="A1:Y15"/>
  <sheetViews>
    <sheetView topLeftCell="J1" workbookViewId="0">
      <selection activeCell="O14" sqref="F13:O14"/>
    </sheetView>
  </sheetViews>
  <sheetFormatPr defaultRowHeight="14.4" x14ac:dyDescent="0.3"/>
  <cols>
    <col min="1" max="1" width="10.33203125" bestFit="1" customWidth="1"/>
    <col min="3" max="3" width="16.33203125" customWidth="1"/>
    <col min="4" max="4" width="19.5546875" customWidth="1"/>
    <col min="5" max="5" width="11" bestFit="1" customWidth="1"/>
    <col min="6" max="6" width="17.6640625" customWidth="1"/>
    <col min="7" max="7" width="19.33203125" customWidth="1"/>
    <col min="8" max="8" width="18.33203125" customWidth="1"/>
    <col min="9" max="9" width="25.21875" customWidth="1"/>
    <col min="10" max="10" width="17.6640625" customWidth="1"/>
    <col min="11" max="11" width="20.77734375" customWidth="1"/>
    <col min="12" max="12" width="19.21875" customWidth="1"/>
    <col min="13" max="13" width="22.33203125" customWidth="1"/>
    <col min="14" max="14" width="19" customWidth="1"/>
    <col min="15" max="15" width="16.88671875" bestFit="1" customWidth="1"/>
    <col min="16" max="16" width="16.44140625" bestFit="1" customWidth="1"/>
    <col min="18" max="18" width="13.33203125" customWidth="1"/>
    <col min="19" max="19" width="16.5546875" customWidth="1"/>
    <col min="20" max="20" width="21.21875" customWidth="1"/>
    <col min="21" max="21" width="20.88671875" customWidth="1"/>
    <col min="22" max="22" width="19.21875" customWidth="1"/>
    <col min="23" max="23" width="31.33203125" customWidth="1"/>
    <col min="24" max="24" width="17" customWidth="1"/>
    <col min="25" max="25" width="22.109375" customWidth="1"/>
  </cols>
  <sheetData>
    <row r="1" spans="1:25" ht="15.6" x14ac:dyDescent="0.3">
      <c r="A1" s="2" t="s">
        <v>25</v>
      </c>
      <c r="B1" s="3" t="s">
        <v>0</v>
      </c>
      <c r="C1" s="3" t="s">
        <v>1</v>
      </c>
      <c r="D1" s="3" t="s">
        <v>3</v>
      </c>
      <c r="E1" s="3" t="s">
        <v>6</v>
      </c>
      <c r="F1" s="3" t="s">
        <v>155</v>
      </c>
      <c r="G1" s="3" t="s">
        <v>156</v>
      </c>
      <c r="H1" s="3" t="s">
        <v>157</v>
      </c>
      <c r="I1" s="3" t="s">
        <v>158</v>
      </c>
      <c r="J1" s="3" t="s">
        <v>159</v>
      </c>
      <c r="K1" s="3" t="s">
        <v>160</v>
      </c>
      <c r="L1" s="3" t="s">
        <v>161</v>
      </c>
      <c r="M1" s="3" t="s">
        <v>162</v>
      </c>
      <c r="N1" s="3" t="s">
        <v>163</v>
      </c>
      <c r="O1" s="3" t="s">
        <v>7</v>
      </c>
      <c r="P1" s="3" t="s">
        <v>8</v>
      </c>
      <c r="Q1" s="3" t="s">
        <v>9</v>
      </c>
      <c r="R1" s="3" t="s">
        <v>10</v>
      </c>
      <c r="S1" s="3" t="s">
        <v>11</v>
      </c>
      <c r="T1" s="3" t="s">
        <v>24</v>
      </c>
      <c r="U1" s="3" t="s">
        <v>26</v>
      </c>
      <c r="V1" s="3" t="s">
        <v>12</v>
      </c>
      <c r="W1" s="3" t="s">
        <v>13</v>
      </c>
      <c r="X1" s="3" t="s">
        <v>226</v>
      </c>
      <c r="Y1" s="3" t="s">
        <v>224</v>
      </c>
    </row>
    <row r="2" spans="1:25" x14ac:dyDescent="0.3">
      <c r="A2" s="4">
        <v>46101</v>
      </c>
      <c r="B2">
        <v>1</v>
      </c>
      <c r="C2" t="s">
        <v>112</v>
      </c>
      <c r="D2" t="s">
        <v>124</v>
      </c>
      <c r="E2">
        <v>17300000</v>
      </c>
      <c r="F2">
        <v>45</v>
      </c>
      <c r="G2">
        <v>25</v>
      </c>
      <c r="H2">
        <v>98</v>
      </c>
      <c r="I2">
        <v>91</v>
      </c>
      <c r="J2">
        <v>21</v>
      </c>
      <c r="K2">
        <v>31</v>
      </c>
      <c r="L2">
        <v>62</v>
      </c>
      <c r="M2">
        <v>55</v>
      </c>
      <c r="N2">
        <v>30</v>
      </c>
      <c r="O2">
        <v>14</v>
      </c>
      <c r="P2">
        <v>5</v>
      </c>
      <c r="Q2">
        <v>33</v>
      </c>
      <c r="R2">
        <v>9</v>
      </c>
      <c r="S2">
        <v>48</v>
      </c>
      <c r="T2">
        <v>6</v>
      </c>
      <c r="U2">
        <v>5</v>
      </c>
      <c r="V2">
        <v>0</v>
      </c>
      <c r="W2">
        <v>1</v>
      </c>
      <c r="X2">
        <f>SUM(F2:N2)</f>
        <v>458</v>
      </c>
      <c r="Y2" s="2" t="s">
        <v>225</v>
      </c>
    </row>
    <row r="3" spans="1:25" x14ac:dyDescent="0.3">
      <c r="A3" s="4">
        <v>46109</v>
      </c>
      <c r="B3">
        <v>2</v>
      </c>
      <c r="C3" t="s">
        <v>119</v>
      </c>
      <c r="D3" t="s">
        <v>4</v>
      </c>
      <c r="E3">
        <v>26350000</v>
      </c>
      <c r="F3">
        <v>25</v>
      </c>
      <c r="G3">
        <v>25</v>
      </c>
      <c r="H3">
        <v>25</v>
      </c>
      <c r="I3">
        <v>20</v>
      </c>
      <c r="J3">
        <v>32</v>
      </c>
      <c r="K3">
        <v>32</v>
      </c>
      <c r="L3">
        <v>3</v>
      </c>
      <c r="M3">
        <v>23</v>
      </c>
      <c r="N3">
        <v>21</v>
      </c>
      <c r="O3">
        <v>21</v>
      </c>
      <c r="P3">
        <v>6</v>
      </c>
      <c r="Q3">
        <v>22</v>
      </c>
      <c r="R3">
        <v>8</v>
      </c>
      <c r="S3">
        <v>54</v>
      </c>
      <c r="T3">
        <v>6</v>
      </c>
      <c r="U3">
        <v>3</v>
      </c>
      <c r="V3">
        <v>0</v>
      </c>
      <c r="W3">
        <v>0</v>
      </c>
      <c r="X3">
        <f t="shared" ref="X3:X12" si="0">SUM(F3:N3)</f>
        <v>206</v>
      </c>
    </row>
    <row r="4" spans="1:25" x14ac:dyDescent="0.3">
      <c r="A4" s="4">
        <v>46114</v>
      </c>
      <c r="B4">
        <v>3</v>
      </c>
      <c r="C4" t="s">
        <v>113</v>
      </c>
      <c r="D4" t="s">
        <v>124</v>
      </c>
      <c r="E4">
        <v>1500000</v>
      </c>
      <c r="F4">
        <v>10</v>
      </c>
      <c r="G4">
        <v>25</v>
      </c>
      <c r="H4">
        <v>12</v>
      </c>
      <c r="I4">
        <v>20</v>
      </c>
      <c r="J4">
        <v>32</v>
      </c>
      <c r="K4">
        <v>24</v>
      </c>
      <c r="L4">
        <v>3</v>
      </c>
      <c r="M4">
        <v>1</v>
      </c>
      <c r="N4">
        <v>32</v>
      </c>
      <c r="O4">
        <v>21</v>
      </c>
      <c r="P4">
        <v>6</v>
      </c>
      <c r="Q4">
        <v>22</v>
      </c>
      <c r="R4">
        <v>8</v>
      </c>
      <c r="S4">
        <v>35</v>
      </c>
      <c r="T4">
        <v>6</v>
      </c>
      <c r="U4">
        <v>2</v>
      </c>
      <c r="V4">
        <v>5</v>
      </c>
      <c r="W4">
        <v>3</v>
      </c>
      <c r="X4">
        <f t="shared" si="0"/>
        <v>159</v>
      </c>
    </row>
    <row r="5" spans="1:25" x14ac:dyDescent="0.3">
      <c r="A5" s="4">
        <v>46117</v>
      </c>
      <c r="B5">
        <v>4</v>
      </c>
      <c r="C5" t="s">
        <v>118</v>
      </c>
      <c r="D5" t="s">
        <v>122</v>
      </c>
      <c r="E5">
        <v>16350000</v>
      </c>
      <c r="F5">
        <v>10</v>
      </c>
      <c r="G5">
        <v>25</v>
      </c>
      <c r="H5">
        <v>85</v>
      </c>
      <c r="I5">
        <v>20</v>
      </c>
      <c r="J5">
        <v>32</v>
      </c>
      <c r="K5">
        <v>36</v>
      </c>
      <c r="L5">
        <v>3</v>
      </c>
      <c r="M5">
        <v>1</v>
      </c>
      <c r="N5">
        <v>32</v>
      </c>
      <c r="O5">
        <v>21</v>
      </c>
      <c r="P5">
        <v>10</v>
      </c>
      <c r="Q5">
        <v>22</v>
      </c>
      <c r="R5">
        <v>4</v>
      </c>
      <c r="S5">
        <v>26</v>
      </c>
      <c r="T5">
        <v>10</v>
      </c>
      <c r="U5">
        <v>2</v>
      </c>
      <c r="V5">
        <v>4</v>
      </c>
      <c r="W5">
        <v>2</v>
      </c>
      <c r="X5">
        <f t="shared" si="0"/>
        <v>244</v>
      </c>
    </row>
    <row r="6" spans="1:25" x14ac:dyDescent="0.3">
      <c r="A6" s="4">
        <v>46122</v>
      </c>
      <c r="B6">
        <v>5</v>
      </c>
      <c r="C6" t="s">
        <v>154</v>
      </c>
      <c r="D6" t="s">
        <v>5</v>
      </c>
      <c r="E6">
        <v>10000000</v>
      </c>
      <c r="F6">
        <v>10</v>
      </c>
      <c r="G6">
        <v>25</v>
      </c>
      <c r="H6">
        <v>85</v>
      </c>
      <c r="I6">
        <v>20</v>
      </c>
      <c r="J6">
        <v>32</v>
      </c>
      <c r="K6">
        <v>36</v>
      </c>
      <c r="L6">
        <v>3</v>
      </c>
      <c r="M6">
        <v>1</v>
      </c>
      <c r="N6">
        <v>32</v>
      </c>
      <c r="O6">
        <v>24</v>
      </c>
      <c r="P6">
        <v>6</v>
      </c>
      <c r="Q6">
        <v>22</v>
      </c>
      <c r="R6">
        <v>2</v>
      </c>
      <c r="S6">
        <v>15</v>
      </c>
      <c r="T6">
        <v>21</v>
      </c>
      <c r="U6">
        <v>2</v>
      </c>
      <c r="V6">
        <v>4</v>
      </c>
      <c r="W6">
        <v>1</v>
      </c>
      <c r="X6">
        <f t="shared" si="0"/>
        <v>244</v>
      </c>
    </row>
    <row r="7" spans="1:25" ht="16.2" customHeight="1" x14ac:dyDescent="0.3">
      <c r="A7" s="4">
        <v>46124</v>
      </c>
      <c r="B7">
        <v>6</v>
      </c>
      <c r="C7" t="s">
        <v>117</v>
      </c>
      <c r="D7" t="s">
        <v>124</v>
      </c>
      <c r="E7">
        <v>30000000</v>
      </c>
      <c r="F7">
        <v>10</v>
      </c>
      <c r="G7">
        <v>25</v>
      </c>
      <c r="H7">
        <v>64</v>
      </c>
      <c r="I7">
        <v>20</v>
      </c>
      <c r="J7">
        <v>32</v>
      </c>
      <c r="K7">
        <v>36</v>
      </c>
      <c r="L7">
        <v>3</v>
      </c>
      <c r="M7">
        <v>1</v>
      </c>
      <c r="N7">
        <v>32</v>
      </c>
      <c r="O7">
        <v>21</v>
      </c>
      <c r="P7">
        <v>6</v>
      </c>
      <c r="Q7">
        <v>22</v>
      </c>
      <c r="R7">
        <v>3</v>
      </c>
      <c r="S7">
        <v>15</v>
      </c>
      <c r="T7">
        <v>8</v>
      </c>
      <c r="U7">
        <v>2</v>
      </c>
      <c r="V7">
        <v>4</v>
      </c>
      <c r="W7">
        <v>0</v>
      </c>
      <c r="X7">
        <f t="shared" si="0"/>
        <v>223</v>
      </c>
    </row>
    <row r="8" spans="1:25" x14ac:dyDescent="0.3">
      <c r="A8" s="4">
        <v>46147</v>
      </c>
      <c r="B8">
        <v>11</v>
      </c>
      <c r="C8" t="s">
        <v>114</v>
      </c>
      <c r="D8" t="s">
        <v>122</v>
      </c>
      <c r="E8">
        <v>3000000</v>
      </c>
      <c r="F8">
        <v>10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10</v>
      </c>
      <c r="P8">
        <v>6</v>
      </c>
      <c r="Q8">
        <v>12</v>
      </c>
      <c r="R8">
        <v>5</v>
      </c>
      <c r="S8">
        <v>15</v>
      </c>
      <c r="T8">
        <v>12</v>
      </c>
      <c r="U8">
        <v>0</v>
      </c>
      <c r="V8">
        <v>6</v>
      </c>
      <c r="W8">
        <v>0</v>
      </c>
      <c r="X8">
        <f t="shared" si="0"/>
        <v>10</v>
      </c>
    </row>
    <row r="9" spans="1:25" x14ac:dyDescent="0.3">
      <c r="A9" s="4">
        <v>46152</v>
      </c>
      <c r="B9">
        <v>12</v>
      </c>
      <c r="C9" t="s">
        <v>120</v>
      </c>
      <c r="D9" t="s">
        <v>4</v>
      </c>
      <c r="E9">
        <v>2000000</v>
      </c>
      <c r="F9">
        <v>10</v>
      </c>
      <c r="G9">
        <v>25</v>
      </c>
      <c r="H9">
        <v>15</v>
      </c>
      <c r="I9">
        <v>96</v>
      </c>
      <c r="J9">
        <v>2</v>
      </c>
      <c r="K9">
        <v>0</v>
      </c>
      <c r="L9">
        <v>1</v>
      </c>
      <c r="M9">
        <v>1</v>
      </c>
      <c r="N9">
        <v>32</v>
      </c>
      <c r="O9">
        <v>3</v>
      </c>
      <c r="P9">
        <v>4</v>
      </c>
      <c r="Q9">
        <v>10</v>
      </c>
      <c r="R9">
        <v>8</v>
      </c>
      <c r="S9">
        <v>15</v>
      </c>
      <c r="T9">
        <v>12</v>
      </c>
      <c r="U9">
        <v>1</v>
      </c>
      <c r="V9">
        <v>5</v>
      </c>
      <c r="W9">
        <v>0</v>
      </c>
      <c r="X9">
        <f t="shared" si="0"/>
        <v>182</v>
      </c>
    </row>
    <row r="10" spans="1:25" x14ac:dyDescent="0.3">
      <c r="A10" s="4">
        <v>46154</v>
      </c>
      <c r="B10">
        <v>13</v>
      </c>
      <c r="C10" t="s">
        <v>115</v>
      </c>
      <c r="D10" t="s">
        <v>5</v>
      </c>
      <c r="E10">
        <v>500000000</v>
      </c>
      <c r="F10">
        <v>21</v>
      </c>
      <c r="G10">
        <v>68</v>
      </c>
      <c r="H10">
        <v>15</v>
      </c>
      <c r="I10">
        <v>36</v>
      </c>
      <c r="J10">
        <v>20</v>
      </c>
      <c r="K10">
        <v>0</v>
      </c>
      <c r="L10">
        <v>5</v>
      </c>
      <c r="M10">
        <v>1</v>
      </c>
      <c r="N10">
        <v>32</v>
      </c>
      <c r="O10">
        <v>7</v>
      </c>
      <c r="P10">
        <v>4</v>
      </c>
      <c r="Q10">
        <v>6</v>
      </c>
      <c r="R10">
        <v>9</v>
      </c>
      <c r="S10">
        <v>15</v>
      </c>
      <c r="T10">
        <v>25</v>
      </c>
      <c r="U10">
        <v>1</v>
      </c>
      <c r="V10">
        <v>3</v>
      </c>
      <c r="W10">
        <v>3</v>
      </c>
      <c r="X10">
        <f t="shared" si="0"/>
        <v>198</v>
      </c>
    </row>
    <row r="11" spans="1:25" x14ac:dyDescent="0.3">
      <c r="A11" s="4">
        <v>46158</v>
      </c>
      <c r="B11">
        <v>14</v>
      </c>
      <c r="C11" t="s">
        <v>121</v>
      </c>
      <c r="D11" t="s">
        <v>5</v>
      </c>
      <c r="E11">
        <v>260000000</v>
      </c>
      <c r="F11">
        <v>21</v>
      </c>
      <c r="G11">
        <v>64</v>
      </c>
      <c r="H11">
        <v>10</v>
      </c>
      <c r="I11">
        <v>24</v>
      </c>
      <c r="J11">
        <v>20</v>
      </c>
      <c r="K11">
        <v>0</v>
      </c>
      <c r="L11">
        <v>7</v>
      </c>
      <c r="M11">
        <v>22</v>
      </c>
      <c r="N11">
        <v>6</v>
      </c>
      <c r="O11">
        <v>2</v>
      </c>
      <c r="P11">
        <v>4</v>
      </c>
      <c r="Q11">
        <v>5</v>
      </c>
      <c r="R11">
        <v>0</v>
      </c>
      <c r="S11">
        <v>15</v>
      </c>
      <c r="T11">
        <v>24</v>
      </c>
      <c r="U11">
        <v>6</v>
      </c>
      <c r="V11">
        <v>0</v>
      </c>
      <c r="W11">
        <v>0</v>
      </c>
      <c r="X11">
        <f t="shared" si="0"/>
        <v>174</v>
      </c>
    </row>
    <row r="12" spans="1:25" x14ac:dyDescent="0.3">
      <c r="A12" s="4">
        <v>46162</v>
      </c>
      <c r="B12">
        <v>15</v>
      </c>
      <c r="C12" t="s">
        <v>116</v>
      </c>
      <c r="D12" t="s">
        <v>5</v>
      </c>
      <c r="E12">
        <v>225000000</v>
      </c>
      <c r="F12">
        <v>21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3</v>
      </c>
      <c r="P12">
        <v>6</v>
      </c>
      <c r="Q12">
        <v>7</v>
      </c>
      <c r="R12">
        <v>0</v>
      </c>
      <c r="S12">
        <v>15</v>
      </c>
      <c r="T12">
        <v>22</v>
      </c>
      <c r="U12">
        <v>7</v>
      </c>
      <c r="V12">
        <v>9</v>
      </c>
      <c r="W12">
        <v>9</v>
      </c>
      <c r="X12">
        <f t="shared" si="0"/>
        <v>21</v>
      </c>
    </row>
    <row r="13" spans="1:25" x14ac:dyDescent="0.3">
      <c r="D13" s="2" t="s">
        <v>219</v>
      </c>
      <c r="E13" s="2">
        <f>SUM(E2:E12)</f>
        <v>1091500000</v>
      </c>
      <c r="F13" s="7" t="s">
        <v>359</v>
      </c>
      <c r="G13" s="7" t="s">
        <v>360</v>
      </c>
      <c r="H13" s="7" t="s">
        <v>361</v>
      </c>
      <c r="I13" s="7" t="s">
        <v>362</v>
      </c>
      <c r="J13" s="7" t="s">
        <v>363</v>
      </c>
      <c r="K13" s="7" t="s">
        <v>364</v>
      </c>
      <c r="L13" s="7" t="s">
        <v>365</v>
      </c>
      <c r="M13" s="7" t="s">
        <v>366</v>
      </c>
      <c r="N13" s="7" t="s">
        <v>367</v>
      </c>
      <c r="O13" s="7" t="s">
        <v>368</v>
      </c>
      <c r="P13" s="2" t="s">
        <v>369</v>
      </c>
      <c r="W13" s="2" t="s">
        <v>222</v>
      </c>
      <c r="X13" s="2">
        <f>MAX(X2:X12)</f>
        <v>458</v>
      </c>
    </row>
    <row r="14" spans="1:25" x14ac:dyDescent="0.3">
      <c r="D14" s="2" t="s">
        <v>220</v>
      </c>
      <c r="E14" s="2">
        <f>MIN(E2:E12)</f>
        <v>1500000</v>
      </c>
      <c r="F14" s="8"/>
      <c r="G14" s="8"/>
      <c r="H14" s="8"/>
      <c r="I14" s="8"/>
      <c r="J14" s="8"/>
      <c r="K14" s="8"/>
      <c r="L14" s="8"/>
      <c r="M14" s="8"/>
      <c r="N14" s="8"/>
      <c r="O14" s="7" t="s">
        <v>370</v>
      </c>
      <c r="P14" s="2" t="s">
        <v>371</v>
      </c>
      <c r="W14" s="2" t="s">
        <v>223</v>
      </c>
      <c r="X14" s="2">
        <f>MIN(X2:X12)</f>
        <v>10</v>
      </c>
    </row>
    <row r="15" spans="1:25" x14ac:dyDescent="0.3">
      <c r="D15" s="2" t="s">
        <v>221</v>
      </c>
      <c r="E15" s="2">
        <f>MAX(E2:E12)</f>
        <v>500000000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7FAE3-93B4-4D42-8048-9B954DA4C8F8}">
  <dimension ref="A1:Y15"/>
  <sheetViews>
    <sheetView topLeftCell="C1" workbookViewId="0">
      <selection activeCell="P14" sqref="F13:P14"/>
    </sheetView>
  </sheetViews>
  <sheetFormatPr defaultRowHeight="14.4" x14ac:dyDescent="0.3"/>
  <cols>
    <col min="1" max="1" width="10.33203125" bestFit="1" customWidth="1"/>
    <col min="3" max="3" width="16.88671875" customWidth="1"/>
    <col min="4" max="4" width="19" customWidth="1"/>
    <col min="5" max="5" width="11" bestFit="1" customWidth="1"/>
    <col min="6" max="6" width="9.5546875" customWidth="1"/>
    <col min="7" max="7" width="12.109375" customWidth="1"/>
    <col min="15" max="16" width="16.109375" bestFit="1" customWidth="1"/>
    <col min="23" max="23" width="28.88671875" customWidth="1"/>
    <col min="24" max="24" width="14.5546875" customWidth="1"/>
    <col min="25" max="25" width="20.5546875" customWidth="1"/>
  </cols>
  <sheetData>
    <row r="1" spans="1:25" ht="15.6" x14ac:dyDescent="0.3">
      <c r="A1" s="2" t="s">
        <v>25</v>
      </c>
      <c r="B1" s="3" t="s">
        <v>0</v>
      </c>
      <c r="C1" s="3" t="s">
        <v>1</v>
      </c>
      <c r="D1" s="3" t="s">
        <v>3</v>
      </c>
      <c r="E1" s="3" t="s">
        <v>6</v>
      </c>
      <c r="F1" s="3" t="s">
        <v>144</v>
      </c>
      <c r="G1" s="3" t="s">
        <v>145</v>
      </c>
      <c r="H1" s="3" t="s">
        <v>146</v>
      </c>
      <c r="I1" s="3" t="s">
        <v>148</v>
      </c>
      <c r="J1" s="3" t="s">
        <v>149</v>
      </c>
      <c r="K1" s="3" t="s">
        <v>150</v>
      </c>
      <c r="L1" s="3" t="s">
        <v>151</v>
      </c>
      <c r="M1" s="3" t="s">
        <v>152</v>
      </c>
      <c r="N1" s="3" t="s">
        <v>153</v>
      </c>
      <c r="O1" s="3" t="s">
        <v>7</v>
      </c>
      <c r="P1" s="3" t="s">
        <v>8</v>
      </c>
      <c r="Q1" s="3" t="s">
        <v>9</v>
      </c>
      <c r="R1" s="3" t="s">
        <v>10</v>
      </c>
      <c r="S1" s="3" t="s">
        <v>11</v>
      </c>
      <c r="T1" s="3" t="s">
        <v>24</v>
      </c>
      <c r="U1" s="3" t="s">
        <v>26</v>
      </c>
      <c r="V1" s="3" t="s">
        <v>12</v>
      </c>
      <c r="W1" s="3" t="s">
        <v>13</v>
      </c>
      <c r="X1" s="3" t="s">
        <v>226</v>
      </c>
      <c r="Y1" s="3" t="s">
        <v>224</v>
      </c>
    </row>
    <row r="2" spans="1:25" x14ac:dyDescent="0.3">
      <c r="A2" s="5">
        <v>46083</v>
      </c>
      <c r="B2">
        <v>1</v>
      </c>
      <c r="C2" t="s">
        <v>80</v>
      </c>
      <c r="D2" t="s">
        <v>122</v>
      </c>
      <c r="E2">
        <v>12300000</v>
      </c>
      <c r="F2">
        <v>63</v>
      </c>
      <c r="G2">
        <v>52</v>
      </c>
      <c r="H2">
        <v>36</v>
      </c>
      <c r="I2">
        <v>58</v>
      </c>
      <c r="J2">
        <v>34</v>
      </c>
      <c r="K2">
        <v>68</v>
      </c>
      <c r="L2">
        <v>80</v>
      </c>
      <c r="M2">
        <v>29</v>
      </c>
      <c r="N2">
        <v>47</v>
      </c>
      <c r="O2">
        <v>14</v>
      </c>
      <c r="P2">
        <v>16</v>
      </c>
      <c r="Q2">
        <v>74</v>
      </c>
      <c r="R2">
        <v>14</v>
      </c>
      <c r="S2">
        <v>48</v>
      </c>
      <c r="T2">
        <v>10</v>
      </c>
      <c r="U2">
        <v>5</v>
      </c>
      <c r="V2">
        <v>0</v>
      </c>
      <c r="W2">
        <v>1</v>
      </c>
      <c r="X2">
        <f>SUM(F2:N2)</f>
        <v>467</v>
      </c>
      <c r="Y2" s="2" t="s">
        <v>229</v>
      </c>
    </row>
    <row r="3" spans="1:25" x14ac:dyDescent="0.3">
      <c r="A3" s="5">
        <v>46091</v>
      </c>
      <c r="B3">
        <v>2</v>
      </c>
      <c r="C3" t="s">
        <v>81</v>
      </c>
      <c r="D3" t="s">
        <v>124</v>
      </c>
      <c r="E3">
        <v>10030520</v>
      </c>
      <c r="F3">
        <v>41</v>
      </c>
      <c r="G3">
        <v>67</v>
      </c>
      <c r="H3">
        <v>58</v>
      </c>
      <c r="I3">
        <v>42</v>
      </c>
      <c r="J3">
        <v>75</v>
      </c>
      <c r="K3">
        <v>75</v>
      </c>
      <c r="L3">
        <v>28</v>
      </c>
      <c r="M3">
        <v>49</v>
      </c>
      <c r="N3">
        <v>52</v>
      </c>
      <c r="O3">
        <v>21</v>
      </c>
      <c r="P3">
        <v>12</v>
      </c>
      <c r="Q3">
        <v>47</v>
      </c>
      <c r="R3">
        <v>7</v>
      </c>
      <c r="S3">
        <v>55</v>
      </c>
      <c r="T3">
        <v>2</v>
      </c>
      <c r="U3">
        <v>3</v>
      </c>
      <c r="V3">
        <v>0</v>
      </c>
      <c r="W3">
        <v>0</v>
      </c>
      <c r="X3">
        <f t="shared" ref="X3:X12" si="0">SUM(F3:N3)</f>
        <v>487</v>
      </c>
    </row>
    <row r="4" spans="1:25" x14ac:dyDescent="0.3">
      <c r="A4" s="5">
        <v>46093</v>
      </c>
      <c r="B4">
        <v>3</v>
      </c>
      <c r="C4" t="s">
        <v>82</v>
      </c>
      <c r="D4" t="s">
        <v>5</v>
      </c>
      <c r="E4">
        <v>11952440</v>
      </c>
      <c r="F4">
        <v>72</v>
      </c>
      <c r="G4">
        <v>31</v>
      </c>
      <c r="H4">
        <v>61</v>
      </c>
      <c r="I4">
        <v>76</v>
      </c>
      <c r="J4">
        <v>67</v>
      </c>
      <c r="K4">
        <v>59</v>
      </c>
      <c r="L4">
        <v>46</v>
      </c>
      <c r="M4">
        <v>33</v>
      </c>
      <c r="N4">
        <v>61</v>
      </c>
      <c r="O4">
        <v>32</v>
      </c>
      <c r="P4">
        <v>19</v>
      </c>
      <c r="Q4">
        <v>7</v>
      </c>
      <c r="R4">
        <v>5</v>
      </c>
      <c r="S4">
        <v>35</v>
      </c>
      <c r="T4">
        <v>6</v>
      </c>
      <c r="U4">
        <v>3</v>
      </c>
      <c r="V4">
        <v>5</v>
      </c>
      <c r="W4">
        <v>3</v>
      </c>
      <c r="X4">
        <f t="shared" si="0"/>
        <v>506</v>
      </c>
    </row>
    <row r="5" spans="1:25" x14ac:dyDescent="0.3">
      <c r="A5" s="5">
        <v>46096</v>
      </c>
      <c r="B5">
        <v>4</v>
      </c>
      <c r="C5" t="s">
        <v>147</v>
      </c>
      <c r="D5" t="s">
        <v>5</v>
      </c>
      <c r="E5">
        <v>12823674</v>
      </c>
      <c r="F5">
        <v>55</v>
      </c>
      <c r="G5">
        <v>74</v>
      </c>
      <c r="H5">
        <v>74</v>
      </c>
      <c r="I5">
        <v>35</v>
      </c>
      <c r="J5">
        <v>28</v>
      </c>
      <c r="K5">
        <v>57</v>
      </c>
      <c r="L5">
        <v>66</v>
      </c>
      <c r="M5">
        <v>45</v>
      </c>
      <c r="N5">
        <v>47</v>
      </c>
      <c r="O5">
        <v>22</v>
      </c>
      <c r="P5">
        <v>7</v>
      </c>
      <c r="Q5">
        <v>38</v>
      </c>
      <c r="R5">
        <v>4</v>
      </c>
      <c r="S5">
        <v>35</v>
      </c>
      <c r="T5">
        <v>10</v>
      </c>
      <c r="U5">
        <v>3</v>
      </c>
      <c r="V5">
        <v>4</v>
      </c>
      <c r="W5">
        <v>2</v>
      </c>
      <c r="X5">
        <f t="shared" si="0"/>
        <v>481</v>
      </c>
    </row>
    <row r="6" spans="1:25" x14ac:dyDescent="0.3">
      <c r="A6" s="5">
        <v>46101</v>
      </c>
      <c r="B6">
        <v>5</v>
      </c>
      <c r="C6" t="s">
        <v>83</v>
      </c>
      <c r="D6" t="s">
        <v>5</v>
      </c>
      <c r="E6">
        <v>13523726</v>
      </c>
      <c r="F6">
        <v>34</v>
      </c>
      <c r="G6">
        <v>45</v>
      </c>
      <c r="H6">
        <v>42</v>
      </c>
      <c r="I6">
        <v>61</v>
      </c>
      <c r="J6">
        <v>64</v>
      </c>
      <c r="K6">
        <v>69</v>
      </c>
      <c r="L6">
        <v>40</v>
      </c>
      <c r="M6">
        <v>31</v>
      </c>
      <c r="N6">
        <v>73</v>
      </c>
      <c r="O6">
        <v>10</v>
      </c>
      <c r="P6">
        <v>14</v>
      </c>
      <c r="Q6">
        <v>39</v>
      </c>
      <c r="R6">
        <v>2</v>
      </c>
      <c r="S6">
        <v>35</v>
      </c>
      <c r="T6">
        <v>10</v>
      </c>
      <c r="U6">
        <v>3</v>
      </c>
      <c r="V6">
        <v>4</v>
      </c>
      <c r="W6">
        <v>1</v>
      </c>
      <c r="X6">
        <f t="shared" si="0"/>
        <v>459</v>
      </c>
    </row>
    <row r="7" spans="1:25" x14ac:dyDescent="0.3">
      <c r="A7" s="5">
        <v>46122</v>
      </c>
      <c r="B7">
        <v>8</v>
      </c>
      <c r="C7" t="s">
        <v>85</v>
      </c>
      <c r="D7" t="s">
        <v>124</v>
      </c>
      <c r="E7">
        <v>1234495</v>
      </c>
      <c r="F7">
        <v>29</v>
      </c>
      <c r="G7">
        <v>49</v>
      </c>
      <c r="H7">
        <v>50</v>
      </c>
      <c r="I7">
        <v>47</v>
      </c>
      <c r="J7">
        <v>44</v>
      </c>
      <c r="K7">
        <v>76</v>
      </c>
      <c r="L7">
        <v>34</v>
      </c>
      <c r="M7">
        <v>55</v>
      </c>
      <c r="N7">
        <v>68</v>
      </c>
      <c r="O7">
        <v>25</v>
      </c>
      <c r="P7">
        <v>18</v>
      </c>
      <c r="Q7">
        <v>81</v>
      </c>
      <c r="R7">
        <v>10</v>
      </c>
      <c r="S7">
        <v>35</v>
      </c>
      <c r="T7">
        <v>12</v>
      </c>
      <c r="U7">
        <v>3</v>
      </c>
      <c r="V7">
        <v>4</v>
      </c>
      <c r="W7">
        <v>1</v>
      </c>
      <c r="X7">
        <f t="shared" si="0"/>
        <v>452</v>
      </c>
    </row>
    <row r="8" spans="1:25" x14ac:dyDescent="0.3">
      <c r="A8" s="5">
        <v>46125</v>
      </c>
      <c r="B8">
        <v>9</v>
      </c>
      <c r="C8" t="s">
        <v>86</v>
      </c>
      <c r="D8" t="s">
        <v>4</v>
      </c>
      <c r="E8">
        <v>1600000</v>
      </c>
      <c r="F8">
        <v>47</v>
      </c>
      <c r="G8">
        <v>29</v>
      </c>
      <c r="H8">
        <v>29</v>
      </c>
      <c r="I8">
        <v>72</v>
      </c>
      <c r="J8">
        <v>36</v>
      </c>
      <c r="K8">
        <v>55</v>
      </c>
      <c r="L8">
        <v>73</v>
      </c>
      <c r="M8">
        <v>57</v>
      </c>
      <c r="N8">
        <v>40</v>
      </c>
      <c r="O8">
        <v>17</v>
      </c>
      <c r="P8">
        <v>9</v>
      </c>
      <c r="Q8">
        <v>3</v>
      </c>
      <c r="R8">
        <v>2</v>
      </c>
      <c r="S8">
        <v>35</v>
      </c>
      <c r="T8">
        <v>19</v>
      </c>
      <c r="U8">
        <v>4</v>
      </c>
      <c r="V8">
        <v>5</v>
      </c>
      <c r="W8">
        <v>1</v>
      </c>
      <c r="X8">
        <f t="shared" si="0"/>
        <v>438</v>
      </c>
    </row>
    <row r="9" spans="1:25" x14ac:dyDescent="0.3">
      <c r="A9" s="5">
        <v>46134</v>
      </c>
      <c r="B9">
        <v>12</v>
      </c>
      <c r="C9" t="s">
        <v>89</v>
      </c>
      <c r="D9" t="s">
        <v>4</v>
      </c>
      <c r="E9">
        <v>16801236</v>
      </c>
      <c r="F9">
        <v>61</v>
      </c>
      <c r="G9">
        <v>64</v>
      </c>
      <c r="H9">
        <v>64</v>
      </c>
      <c r="I9">
        <v>87</v>
      </c>
      <c r="J9">
        <v>37</v>
      </c>
      <c r="K9">
        <v>28</v>
      </c>
      <c r="L9">
        <v>21</v>
      </c>
      <c r="M9">
        <v>59</v>
      </c>
      <c r="N9">
        <v>35</v>
      </c>
      <c r="O9">
        <v>6</v>
      </c>
      <c r="P9">
        <v>2</v>
      </c>
      <c r="Q9">
        <v>55</v>
      </c>
      <c r="R9">
        <v>8</v>
      </c>
      <c r="S9">
        <v>36</v>
      </c>
      <c r="T9">
        <v>15</v>
      </c>
      <c r="U9">
        <v>1</v>
      </c>
      <c r="V9">
        <v>5</v>
      </c>
      <c r="W9">
        <v>1</v>
      </c>
      <c r="X9">
        <f t="shared" si="0"/>
        <v>456</v>
      </c>
    </row>
    <row r="10" spans="1:25" x14ac:dyDescent="0.3">
      <c r="A10" s="5">
        <v>46141</v>
      </c>
      <c r="B10">
        <v>13</v>
      </c>
      <c r="C10" t="s">
        <v>88</v>
      </c>
      <c r="D10" t="s">
        <v>125</v>
      </c>
      <c r="E10">
        <v>18723994</v>
      </c>
      <c r="F10">
        <v>44</v>
      </c>
      <c r="G10">
        <v>71</v>
      </c>
      <c r="H10">
        <v>74</v>
      </c>
      <c r="I10">
        <v>66</v>
      </c>
      <c r="J10">
        <v>68</v>
      </c>
      <c r="K10">
        <v>23</v>
      </c>
      <c r="L10">
        <v>39</v>
      </c>
      <c r="M10">
        <v>41</v>
      </c>
      <c r="N10">
        <v>44</v>
      </c>
      <c r="O10">
        <v>15</v>
      </c>
      <c r="P10">
        <v>15</v>
      </c>
      <c r="Q10">
        <v>31</v>
      </c>
      <c r="R10">
        <v>9</v>
      </c>
      <c r="S10">
        <v>15</v>
      </c>
      <c r="T10">
        <v>15</v>
      </c>
      <c r="U10">
        <v>1</v>
      </c>
      <c r="V10">
        <v>3</v>
      </c>
      <c r="W10">
        <v>0</v>
      </c>
      <c r="X10">
        <f t="shared" si="0"/>
        <v>470</v>
      </c>
    </row>
    <row r="11" spans="1:25" x14ac:dyDescent="0.3">
      <c r="A11" s="5">
        <v>46148</v>
      </c>
      <c r="B11">
        <v>14</v>
      </c>
      <c r="C11" t="s">
        <v>87</v>
      </c>
      <c r="D11" t="s">
        <v>4</v>
      </c>
      <c r="E11">
        <v>16583002</v>
      </c>
      <c r="F11">
        <v>75</v>
      </c>
      <c r="G11">
        <v>81</v>
      </c>
      <c r="H11">
        <v>81</v>
      </c>
      <c r="I11">
        <v>25</v>
      </c>
      <c r="J11">
        <v>78</v>
      </c>
      <c r="K11">
        <v>26</v>
      </c>
      <c r="L11">
        <v>49</v>
      </c>
      <c r="M11">
        <v>67</v>
      </c>
      <c r="N11">
        <v>38</v>
      </c>
      <c r="O11">
        <v>8</v>
      </c>
      <c r="P11">
        <v>17</v>
      </c>
      <c r="Q11">
        <v>28</v>
      </c>
      <c r="R11">
        <v>4</v>
      </c>
      <c r="S11">
        <v>0</v>
      </c>
      <c r="T11">
        <v>15</v>
      </c>
      <c r="U11">
        <v>6</v>
      </c>
      <c r="V11">
        <v>0</v>
      </c>
      <c r="W11">
        <v>1</v>
      </c>
      <c r="X11">
        <f t="shared" si="0"/>
        <v>520</v>
      </c>
    </row>
    <row r="12" spans="1:25" x14ac:dyDescent="0.3">
      <c r="A12" s="5">
        <v>46153</v>
      </c>
      <c r="B12">
        <v>15</v>
      </c>
      <c r="C12" t="s">
        <v>84</v>
      </c>
      <c r="D12" t="s">
        <v>4</v>
      </c>
      <c r="E12">
        <v>2665283</v>
      </c>
      <c r="F12">
        <v>67</v>
      </c>
      <c r="G12">
        <v>40</v>
      </c>
      <c r="H12">
        <v>41</v>
      </c>
      <c r="I12">
        <v>80</v>
      </c>
      <c r="J12">
        <v>24</v>
      </c>
      <c r="K12">
        <v>31</v>
      </c>
      <c r="L12">
        <v>65</v>
      </c>
      <c r="M12">
        <v>62</v>
      </c>
      <c r="N12">
        <v>46</v>
      </c>
      <c r="O12">
        <v>11</v>
      </c>
      <c r="P12">
        <v>8</v>
      </c>
      <c r="Q12">
        <v>46</v>
      </c>
      <c r="R12">
        <v>0</v>
      </c>
      <c r="S12">
        <v>2</v>
      </c>
      <c r="T12">
        <v>22</v>
      </c>
      <c r="U12">
        <v>7</v>
      </c>
      <c r="V12">
        <v>9</v>
      </c>
      <c r="W12">
        <v>0</v>
      </c>
      <c r="X12">
        <f t="shared" si="0"/>
        <v>456</v>
      </c>
    </row>
    <row r="13" spans="1:25" x14ac:dyDescent="0.3">
      <c r="D13" s="2" t="s">
        <v>219</v>
      </c>
      <c r="E13" s="2">
        <f>SUM(E2:E12)</f>
        <v>118238370</v>
      </c>
      <c r="F13" s="7" t="s">
        <v>372</v>
      </c>
      <c r="G13" s="7" t="s">
        <v>373</v>
      </c>
      <c r="H13" s="7" t="s">
        <v>374</v>
      </c>
      <c r="I13" s="7" t="s">
        <v>375</v>
      </c>
      <c r="J13" s="7" t="s">
        <v>376</v>
      </c>
      <c r="K13" s="7" t="s">
        <v>377</v>
      </c>
      <c r="L13" s="7" t="s">
        <v>378</v>
      </c>
      <c r="M13" s="7" t="s">
        <v>379</v>
      </c>
      <c r="N13" s="7" t="s">
        <v>380</v>
      </c>
      <c r="O13" s="7" t="s">
        <v>381</v>
      </c>
      <c r="P13" s="7" t="s">
        <v>302</v>
      </c>
      <c r="W13" s="2" t="s">
        <v>227</v>
      </c>
      <c r="X13" s="2">
        <f>MAX(X2:X12)</f>
        <v>520</v>
      </c>
    </row>
    <row r="14" spans="1:25" x14ac:dyDescent="0.3">
      <c r="D14" s="2" t="s">
        <v>220</v>
      </c>
      <c r="E14" s="2">
        <f>MIN(E2:E12)</f>
        <v>1234495</v>
      </c>
      <c r="F14" s="8"/>
      <c r="G14" s="8"/>
      <c r="H14" s="8"/>
      <c r="I14" s="8"/>
      <c r="J14" s="8"/>
      <c r="K14" s="8"/>
      <c r="L14" s="8"/>
      <c r="M14" s="8"/>
      <c r="N14" s="8"/>
      <c r="O14" s="7" t="s">
        <v>382</v>
      </c>
      <c r="P14" s="7" t="s">
        <v>383</v>
      </c>
      <c r="W14" s="2" t="s">
        <v>228</v>
      </c>
      <c r="X14" s="2">
        <f>MIN(X2:X12)</f>
        <v>438</v>
      </c>
    </row>
    <row r="15" spans="1:25" x14ac:dyDescent="0.3">
      <c r="D15" s="2" t="s">
        <v>221</v>
      </c>
      <c r="E15" s="2">
        <f>MAX(E2:E12)</f>
        <v>18723994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7D2BA-0CAA-42D6-95FA-A2C0DE5F9A1B}">
  <dimension ref="A1:Y15"/>
  <sheetViews>
    <sheetView tabSelected="1" topLeftCell="H1" zoomScale="102" zoomScaleNormal="102" workbookViewId="0">
      <selection activeCell="N1" sqref="N1"/>
    </sheetView>
  </sheetViews>
  <sheetFormatPr defaultRowHeight="14.4" x14ac:dyDescent="0.3"/>
  <cols>
    <col min="1" max="1" width="11" bestFit="1" customWidth="1"/>
    <col min="3" max="3" width="16.44140625" customWidth="1"/>
    <col min="4" max="4" width="15.77734375" customWidth="1"/>
    <col min="5" max="5" width="11" customWidth="1"/>
    <col min="6" max="6" width="16.77734375" customWidth="1"/>
    <col min="7" max="7" width="17.77734375" customWidth="1"/>
    <col min="8" max="8" width="17.21875" customWidth="1"/>
    <col min="9" max="9" width="24.5546875" customWidth="1"/>
    <col min="10" max="10" width="17.88671875" customWidth="1"/>
    <col min="11" max="11" width="21.5546875" customWidth="1"/>
    <col min="12" max="12" width="17.44140625" customWidth="1"/>
    <col min="13" max="13" width="23.6640625" customWidth="1"/>
    <col min="14" max="14" width="19.88671875" customWidth="1"/>
    <col min="15" max="15" width="19.21875" bestFit="1" customWidth="1"/>
    <col min="16" max="16" width="16" bestFit="1" customWidth="1"/>
    <col min="22" max="22" width="20.77734375" customWidth="1"/>
    <col min="23" max="23" width="30.109375" customWidth="1"/>
    <col min="24" max="24" width="20" customWidth="1"/>
    <col min="25" max="25" width="20.21875" customWidth="1"/>
  </cols>
  <sheetData>
    <row r="1" spans="1:25" ht="15.6" x14ac:dyDescent="0.3">
      <c r="A1" s="2" t="s">
        <v>25</v>
      </c>
      <c r="B1" s="3" t="s">
        <v>0</v>
      </c>
      <c r="C1" s="3" t="s">
        <v>1</v>
      </c>
      <c r="D1" s="3" t="s">
        <v>3</v>
      </c>
      <c r="E1" s="3" t="s">
        <v>6</v>
      </c>
      <c r="F1" s="3" t="s">
        <v>201</v>
      </c>
      <c r="G1" s="3" t="s">
        <v>271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7</v>
      </c>
      <c r="P1" s="3" t="s">
        <v>8</v>
      </c>
      <c r="Q1" s="3" t="s">
        <v>9</v>
      </c>
      <c r="R1" s="3" t="s">
        <v>10</v>
      </c>
      <c r="S1" s="3" t="s">
        <v>11</v>
      </c>
      <c r="T1" s="3" t="s">
        <v>24</v>
      </c>
      <c r="U1" s="3" t="s">
        <v>26</v>
      </c>
      <c r="V1" s="3" t="s">
        <v>12</v>
      </c>
      <c r="W1" s="3" t="s">
        <v>13</v>
      </c>
      <c r="X1" s="3" t="s">
        <v>226</v>
      </c>
      <c r="Y1" s="3" t="s">
        <v>224</v>
      </c>
    </row>
    <row r="2" spans="1:25" x14ac:dyDescent="0.3">
      <c r="A2" s="5">
        <v>46083</v>
      </c>
      <c r="B2">
        <v>1</v>
      </c>
      <c r="C2" t="s">
        <v>69</v>
      </c>
      <c r="D2" t="s">
        <v>4</v>
      </c>
      <c r="E2">
        <v>14000000</v>
      </c>
      <c r="F2">
        <v>45</v>
      </c>
      <c r="G2">
        <v>25</v>
      </c>
      <c r="H2">
        <v>98</v>
      </c>
      <c r="I2">
        <v>91</v>
      </c>
      <c r="J2">
        <v>21</v>
      </c>
      <c r="K2">
        <v>31</v>
      </c>
      <c r="L2">
        <v>62</v>
      </c>
      <c r="M2">
        <v>55</v>
      </c>
      <c r="N2">
        <v>30</v>
      </c>
      <c r="O2">
        <v>14</v>
      </c>
      <c r="P2">
        <v>5</v>
      </c>
      <c r="Q2">
        <v>33</v>
      </c>
      <c r="R2">
        <v>9</v>
      </c>
      <c r="S2">
        <v>48</v>
      </c>
      <c r="T2">
        <v>10</v>
      </c>
      <c r="U2">
        <v>5</v>
      </c>
      <c r="V2">
        <v>0</v>
      </c>
      <c r="W2">
        <v>1</v>
      </c>
      <c r="X2">
        <f>SUM(F2:N2)</f>
        <v>458</v>
      </c>
      <c r="Y2" s="2" t="s">
        <v>232</v>
      </c>
    </row>
    <row r="3" spans="1:25" x14ac:dyDescent="0.3">
      <c r="A3" s="5">
        <v>46091</v>
      </c>
      <c r="B3">
        <v>2</v>
      </c>
      <c r="C3" t="s">
        <v>70</v>
      </c>
      <c r="D3" t="s">
        <v>5</v>
      </c>
      <c r="E3">
        <v>1300000</v>
      </c>
      <c r="F3">
        <v>67</v>
      </c>
      <c r="G3">
        <v>22</v>
      </c>
      <c r="H3">
        <v>25</v>
      </c>
      <c r="I3">
        <v>20</v>
      </c>
      <c r="J3">
        <v>32</v>
      </c>
      <c r="K3">
        <v>32</v>
      </c>
      <c r="L3">
        <v>3</v>
      </c>
      <c r="M3">
        <v>23</v>
      </c>
      <c r="N3">
        <v>30</v>
      </c>
      <c r="O3">
        <v>21</v>
      </c>
      <c r="P3">
        <v>6</v>
      </c>
      <c r="Q3">
        <v>22</v>
      </c>
      <c r="R3">
        <v>2</v>
      </c>
      <c r="S3">
        <v>54</v>
      </c>
      <c r="T3">
        <v>2</v>
      </c>
      <c r="U3">
        <v>3</v>
      </c>
      <c r="V3">
        <v>0</v>
      </c>
      <c r="W3">
        <v>0</v>
      </c>
      <c r="X3">
        <f t="shared" ref="X3:X12" si="0">SUM(F3:N3)</f>
        <v>254</v>
      </c>
    </row>
    <row r="4" spans="1:25" x14ac:dyDescent="0.3">
      <c r="A4" s="5">
        <v>46093</v>
      </c>
      <c r="B4">
        <v>3</v>
      </c>
      <c r="C4" t="s">
        <v>71</v>
      </c>
      <c r="D4" t="s">
        <v>5</v>
      </c>
      <c r="E4">
        <v>1100000</v>
      </c>
      <c r="F4">
        <v>67</v>
      </c>
      <c r="G4">
        <v>10</v>
      </c>
      <c r="H4">
        <v>12</v>
      </c>
      <c r="I4">
        <v>39</v>
      </c>
      <c r="J4">
        <v>32</v>
      </c>
      <c r="K4">
        <v>24</v>
      </c>
      <c r="L4">
        <v>4</v>
      </c>
      <c r="M4">
        <v>1</v>
      </c>
      <c r="N4">
        <v>30</v>
      </c>
      <c r="O4">
        <v>32</v>
      </c>
      <c r="P4">
        <v>5</v>
      </c>
      <c r="Q4">
        <v>10</v>
      </c>
      <c r="R4">
        <v>2</v>
      </c>
      <c r="S4">
        <v>35</v>
      </c>
      <c r="T4">
        <v>6</v>
      </c>
      <c r="U4">
        <v>2</v>
      </c>
      <c r="V4">
        <v>5</v>
      </c>
      <c r="W4">
        <v>3</v>
      </c>
      <c r="X4">
        <f t="shared" si="0"/>
        <v>219</v>
      </c>
    </row>
    <row r="5" spans="1:25" x14ac:dyDescent="0.3">
      <c r="A5" s="5">
        <v>46096</v>
      </c>
      <c r="B5">
        <v>4</v>
      </c>
      <c r="C5" t="s">
        <v>72</v>
      </c>
      <c r="D5" t="s">
        <v>122</v>
      </c>
      <c r="E5">
        <v>20001547</v>
      </c>
      <c r="F5">
        <v>67</v>
      </c>
      <c r="G5">
        <v>10</v>
      </c>
      <c r="H5">
        <v>85</v>
      </c>
      <c r="I5">
        <v>67</v>
      </c>
      <c r="J5">
        <v>25</v>
      </c>
      <c r="K5">
        <v>36</v>
      </c>
      <c r="L5">
        <v>88</v>
      </c>
      <c r="M5">
        <v>5</v>
      </c>
      <c r="N5">
        <v>30</v>
      </c>
      <c r="O5">
        <v>22</v>
      </c>
      <c r="P5">
        <v>8</v>
      </c>
      <c r="Q5">
        <v>6</v>
      </c>
      <c r="R5">
        <v>2</v>
      </c>
      <c r="S5">
        <v>26</v>
      </c>
      <c r="T5">
        <v>10</v>
      </c>
      <c r="U5">
        <v>4</v>
      </c>
      <c r="V5">
        <v>4</v>
      </c>
      <c r="W5">
        <v>3</v>
      </c>
      <c r="X5">
        <f t="shared" si="0"/>
        <v>413</v>
      </c>
    </row>
    <row r="6" spans="1:25" x14ac:dyDescent="0.3">
      <c r="A6" s="5">
        <v>46101</v>
      </c>
      <c r="B6">
        <v>5</v>
      </c>
      <c r="C6" t="s">
        <v>73</v>
      </c>
      <c r="D6" t="s">
        <v>4</v>
      </c>
      <c r="E6">
        <v>52154559</v>
      </c>
      <c r="F6">
        <v>10</v>
      </c>
      <c r="G6">
        <v>10</v>
      </c>
      <c r="H6">
        <v>37</v>
      </c>
      <c r="I6">
        <v>19</v>
      </c>
      <c r="J6">
        <v>4</v>
      </c>
      <c r="K6">
        <v>21</v>
      </c>
      <c r="L6">
        <v>63</v>
      </c>
      <c r="M6">
        <v>6</v>
      </c>
      <c r="N6">
        <v>30</v>
      </c>
      <c r="O6">
        <v>22</v>
      </c>
      <c r="P6">
        <v>9</v>
      </c>
      <c r="Q6">
        <v>11</v>
      </c>
      <c r="R6">
        <v>2</v>
      </c>
      <c r="S6">
        <v>15</v>
      </c>
      <c r="T6">
        <v>21</v>
      </c>
      <c r="U6">
        <v>4</v>
      </c>
      <c r="V6">
        <v>10</v>
      </c>
      <c r="W6">
        <v>3</v>
      </c>
      <c r="X6">
        <f t="shared" si="0"/>
        <v>200</v>
      </c>
    </row>
    <row r="7" spans="1:25" x14ac:dyDescent="0.3">
      <c r="A7" s="5">
        <v>46127</v>
      </c>
      <c r="B7">
        <v>10</v>
      </c>
      <c r="C7" t="s">
        <v>74</v>
      </c>
      <c r="D7" t="s">
        <v>5</v>
      </c>
      <c r="E7">
        <v>67676700</v>
      </c>
      <c r="F7">
        <v>10</v>
      </c>
      <c r="G7">
        <v>10</v>
      </c>
      <c r="H7">
        <v>67</v>
      </c>
      <c r="I7">
        <v>19</v>
      </c>
      <c r="J7">
        <v>44</v>
      </c>
      <c r="K7">
        <v>2</v>
      </c>
      <c r="L7">
        <v>26</v>
      </c>
      <c r="M7">
        <v>6</v>
      </c>
      <c r="N7">
        <v>30</v>
      </c>
      <c r="O7">
        <v>22</v>
      </c>
      <c r="P7">
        <v>2</v>
      </c>
      <c r="Q7">
        <v>13</v>
      </c>
      <c r="R7">
        <v>3</v>
      </c>
      <c r="S7">
        <v>52</v>
      </c>
      <c r="T7">
        <v>17</v>
      </c>
      <c r="U7">
        <v>4</v>
      </c>
      <c r="V7">
        <v>8</v>
      </c>
      <c r="W7">
        <v>3</v>
      </c>
      <c r="X7">
        <f t="shared" si="0"/>
        <v>214</v>
      </c>
    </row>
    <row r="8" spans="1:25" x14ac:dyDescent="0.3">
      <c r="A8" s="5">
        <v>46130</v>
      </c>
      <c r="B8">
        <v>11</v>
      </c>
      <c r="C8" t="s">
        <v>75</v>
      </c>
      <c r="D8" t="s">
        <v>122</v>
      </c>
      <c r="E8">
        <v>14000001</v>
      </c>
      <c r="F8">
        <v>10</v>
      </c>
      <c r="G8">
        <v>10</v>
      </c>
      <c r="H8">
        <v>43</v>
      </c>
      <c r="I8">
        <v>19</v>
      </c>
      <c r="J8">
        <v>44</v>
      </c>
      <c r="K8">
        <v>2</v>
      </c>
      <c r="L8">
        <v>37</v>
      </c>
      <c r="M8">
        <v>6</v>
      </c>
      <c r="N8">
        <v>30</v>
      </c>
      <c r="O8">
        <v>22</v>
      </c>
      <c r="P8">
        <v>2</v>
      </c>
      <c r="Q8">
        <v>12</v>
      </c>
      <c r="R8">
        <v>6</v>
      </c>
      <c r="S8">
        <v>84</v>
      </c>
      <c r="T8">
        <v>15</v>
      </c>
      <c r="U8">
        <v>4</v>
      </c>
      <c r="V8">
        <v>6</v>
      </c>
      <c r="W8">
        <v>3</v>
      </c>
      <c r="X8">
        <f t="shared" si="0"/>
        <v>201</v>
      </c>
    </row>
    <row r="9" spans="1:25" x14ac:dyDescent="0.3">
      <c r="A9" s="5">
        <v>46134</v>
      </c>
      <c r="B9">
        <v>12</v>
      </c>
      <c r="C9" t="s">
        <v>78</v>
      </c>
      <c r="D9" t="s">
        <v>5</v>
      </c>
      <c r="E9">
        <v>19003600</v>
      </c>
      <c r="F9">
        <v>67</v>
      </c>
      <c r="G9">
        <v>10</v>
      </c>
      <c r="H9">
        <v>92</v>
      </c>
      <c r="I9">
        <v>19</v>
      </c>
      <c r="J9">
        <v>44</v>
      </c>
      <c r="K9">
        <v>0</v>
      </c>
      <c r="L9">
        <v>1</v>
      </c>
      <c r="M9">
        <v>6</v>
      </c>
      <c r="N9">
        <v>30</v>
      </c>
      <c r="O9">
        <v>3</v>
      </c>
      <c r="P9">
        <v>1</v>
      </c>
      <c r="Q9">
        <v>10</v>
      </c>
      <c r="R9">
        <v>8</v>
      </c>
      <c r="S9">
        <v>36</v>
      </c>
      <c r="T9">
        <v>20</v>
      </c>
      <c r="U9">
        <v>4</v>
      </c>
      <c r="V9">
        <v>5</v>
      </c>
      <c r="W9">
        <v>3</v>
      </c>
      <c r="X9">
        <f t="shared" si="0"/>
        <v>269</v>
      </c>
    </row>
    <row r="10" spans="1:25" x14ac:dyDescent="0.3">
      <c r="A10" s="5">
        <v>46141</v>
      </c>
      <c r="B10">
        <v>13</v>
      </c>
      <c r="C10" t="s">
        <v>79</v>
      </c>
      <c r="D10" t="s">
        <v>5</v>
      </c>
      <c r="E10">
        <v>52154999</v>
      </c>
      <c r="F10">
        <v>5</v>
      </c>
      <c r="G10">
        <v>10</v>
      </c>
      <c r="H10">
        <v>22</v>
      </c>
      <c r="I10">
        <v>19</v>
      </c>
      <c r="J10">
        <v>44</v>
      </c>
      <c r="K10">
        <v>0</v>
      </c>
      <c r="L10">
        <v>5</v>
      </c>
      <c r="M10">
        <v>22</v>
      </c>
      <c r="N10">
        <v>30</v>
      </c>
      <c r="O10">
        <v>7</v>
      </c>
      <c r="P10">
        <v>6</v>
      </c>
      <c r="Q10">
        <v>6</v>
      </c>
      <c r="R10">
        <v>9</v>
      </c>
      <c r="S10">
        <v>15</v>
      </c>
      <c r="T10">
        <v>25</v>
      </c>
      <c r="U10">
        <v>4</v>
      </c>
      <c r="V10">
        <v>3</v>
      </c>
      <c r="W10">
        <v>0</v>
      </c>
      <c r="X10">
        <f t="shared" si="0"/>
        <v>157</v>
      </c>
    </row>
    <row r="11" spans="1:25" x14ac:dyDescent="0.3">
      <c r="A11" s="5">
        <v>46148</v>
      </c>
      <c r="B11">
        <v>14</v>
      </c>
      <c r="C11" t="s">
        <v>77</v>
      </c>
      <c r="D11" t="s">
        <v>5</v>
      </c>
      <c r="E11">
        <v>2020059</v>
      </c>
      <c r="F11">
        <v>67</v>
      </c>
      <c r="G11">
        <v>10</v>
      </c>
      <c r="H11">
        <v>10</v>
      </c>
      <c r="I11">
        <v>24</v>
      </c>
      <c r="J11">
        <v>10</v>
      </c>
      <c r="K11">
        <v>0</v>
      </c>
      <c r="L11">
        <v>7</v>
      </c>
      <c r="M11">
        <v>22</v>
      </c>
      <c r="N11">
        <v>30</v>
      </c>
      <c r="O11">
        <v>2</v>
      </c>
      <c r="P11">
        <v>5</v>
      </c>
      <c r="Q11">
        <v>5</v>
      </c>
      <c r="R11">
        <v>0</v>
      </c>
      <c r="S11">
        <v>0</v>
      </c>
      <c r="T11">
        <v>24</v>
      </c>
      <c r="U11">
        <v>6</v>
      </c>
      <c r="V11">
        <v>0</v>
      </c>
      <c r="W11">
        <v>1</v>
      </c>
      <c r="X11">
        <f t="shared" si="0"/>
        <v>180</v>
      </c>
    </row>
    <row r="12" spans="1:25" x14ac:dyDescent="0.3">
      <c r="A12" s="5">
        <v>46153</v>
      </c>
      <c r="B12">
        <v>15</v>
      </c>
      <c r="C12" t="s">
        <v>76</v>
      </c>
      <c r="D12" t="s">
        <v>4</v>
      </c>
      <c r="E12">
        <v>67670001</v>
      </c>
      <c r="F12">
        <v>22</v>
      </c>
      <c r="G12">
        <v>25</v>
      </c>
      <c r="H12">
        <v>10</v>
      </c>
      <c r="I12">
        <v>98</v>
      </c>
      <c r="J12">
        <v>0</v>
      </c>
      <c r="K12">
        <v>0</v>
      </c>
      <c r="L12">
        <v>17</v>
      </c>
      <c r="M12">
        <v>10</v>
      </c>
      <c r="N12">
        <v>7</v>
      </c>
      <c r="O12">
        <v>3</v>
      </c>
      <c r="P12">
        <v>1</v>
      </c>
      <c r="Q12">
        <v>7</v>
      </c>
      <c r="R12">
        <v>0</v>
      </c>
      <c r="S12">
        <v>2</v>
      </c>
      <c r="T12">
        <v>22</v>
      </c>
      <c r="U12">
        <v>7</v>
      </c>
      <c r="V12">
        <v>9</v>
      </c>
      <c r="W12">
        <v>0</v>
      </c>
      <c r="X12">
        <f t="shared" si="0"/>
        <v>189</v>
      </c>
    </row>
    <row r="13" spans="1:25" x14ac:dyDescent="0.3">
      <c r="D13" s="2" t="s">
        <v>219</v>
      </c>
      <c r="E13" s="2">
        <f>SUM(E2:E12)</f>
        <v>311081466</v>
      </c>
      <c r="F13" s="7" t="s">
        <v>384</v>
      </c>
      <c r="G13" s="7" t="s">
        <v>385</v>
      </c>
      <c r="H13" s="7" t="s">
        <v>386</v>
      </c>
      <c r="I13" s="7" t="s">
        <v>387</v>
      </c>
      <c r="J13" s="7" t="s">
        <v>388</v>
      </c>
      <c r="K13" s="7" t="s">
        <v>389</v>
      </c>
      <c r="L13" s="7" t="s">
        <v>390</v>
      </c>
      <c r="M13" s="7" t="s">
        <v>391</v>
      </c>
      <c r="N13" s="7" t="s">
        <v>360</v>
      </c>
      <c r="O13" s="7" t="s">
        <v>392</v>
      </c>
      <c r="P13" s="7" t="s">
        <v>393</v>
      </c>
      <c r="W13" s="2" t="s">
        <v>230</v>
      </c>
      <c r="X13" s="2">
        <f>MAX(X2:X12)</f>
        <v>458</v>
      </c>
    </row>
    <row r="14" spans="1:25" x14ac:dyDescent="0.3">
      <c r="D14" s="2" t="s">
        <v>220</v>
      </c>
      <c r="E14" s="2">
        <f>MIN(E2:E12)</f>
        <v>1100000</v>
      </c>
      <c r="F14" s="8"/>
      <c r="G14" s="8"/>
      <c r="H14" s="8"/>
      <c r="I14" s="8"/>
      <c r="J14" s="8"/>
      <c r="K14" s="8"/>
      <c r="L14" s="8"/>
      <c r="M14" s="8"/>
      <c r="N14" s="8"/>
      <c r="O14" s="7" t="s">
        <v>394</v>
      </c>
      <c r="P14" s="7" t="s">
        <v>395</v>
      </c>
      <c r="W14" s="2" t="s">
        <v>231</v>
      </c>
      <c r="X14" s="2">
        <f>MIN(X2:X12)</f>
        <v>157</v>
      </c>
    </row>
    <row r="15" spans="1:25" x14ac:dyDescent="0.3">
      <c r="D15" s="2" t="s">
        <v>221</v>
      </c>
      <c r="E15" s="2">
        <f>MAX(E2:E12)</f>
        <v>67676700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Quarter-Final Point Tables</vt:lpstr>
      <vt:lpstr>Semi-Final Point Tables</vt:lpstr>
      <vt:lpstr>Final Point Tables</vt:lpstr>
      <vt:lpstr>MI</vt:lpstr>
      <vt:lpstr>RRoyals</vt:lpstr>
      <vt:lpstr>KKR</vt:lpstr>
      <vt:lpstr>Hyderabad</vt:lpstr>
      <vt:lpstr>CSK</vt:lpstr>
      <vt:lpstr>Gujrat</vt:lpstr>
      <vt:lpstr>RCB</vt:lpstr>
      <vt:lpstr>Lucknow</vt:lpstr>
      <vt:lpstr>Delhi </vt:lpstr>
      <vt:lpstr>Punjab 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saxena</dc:creator>
  <cp:lastModifiedBy>abhishek saxena</cp:lastModifiedBy>
  <dcterms:created xsi:type="dcterms:W3CDTF">2026-05-03T06:25:37Z</dcterms:created>
  <dcterms:modified xsi:type="dcterms:W3CDTF">2026-05-16T16:31:02Z</dcterms:modified>
</cp:coreProperties>
</file>